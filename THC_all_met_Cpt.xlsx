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rora\UW\isolab - Aurora Authement\00_Manuscripts\01_THC_COL_DDI_paper\Code to print\"/>
    </mc:Choice>
  </mc:AlternateContent>
  <bookViews>
    <workbookView xWindow="0" yWindow="0" windowWidth="23790" windowHeight="9870"/>
  </bookViews>
  <sheets>
    <sheet name="Al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74" i="1" l="1"/>
  <c r="C26" i="1" l="1"/>
  <c r="C62" i="1" l="1"/>
  <c r="C50" i="1" l="1"/>
  <c r="C110" i="1"/>
  <c r="C98" i="1"/>
  <c r="C2" i="1"/>
  <c r="C146" i="1" l="1"/>
  <c r="C38" i="1" l="1"/>
  <c r="C86" i="1"/>
  <c r="C122" i="1"/>
  <c r="C134" i="1" l="1"/>
</calcChain>
</file>

<file path=xl/sharedStrings.xml><?xml version="1.0" encoding="utf-8"?>
<sst xmlns="http://schemas.openxmlformats.org/spreadsheetml/2006/main" count="91" uniqueCount="14">
  <si>
    <t>SID</t>
  </si>
  <si>
    <t>Time_h</t>
  </si>
  <si>
    <t>Dose_nmol</t>
  </si>
  <si>
    <t>THC_HC</t>
  </si>
  <si>
    <t>THC_HT</t>
  </si>
  <si>
    <t>OH_HC</t>
  </si>
  <si>
    <t>OH_HT</t>
  </si>
  <si>
    <t>COOH_HC</t>
  </si>
  <si>
    <t>COOH_HT</t>
  </si>
  <si>
    <t>Gluc_HC</t>
  </si>
  <si>
    <t>Gluc_HT</t>
  </si>
  <si>
    <t>N/A</t>
  </si>
  <si>
    <t>&lt; 0</t>
  </si>
  <si>
    <t>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</si>
</sst>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2" fillId="3" borderId="0" xfId="2"/>
    <xf numFmtId="0" fontId="3" fillId="0" borderId="0" xfId="0" applyFont="1"/>
    <xf numFmtId="0" fontId="4" fillId="0" borderId="0" xfId="0" applyFont="1"/>
    <xf numFmtId="0" fontId="4" fillId="0" borderId="0" xfId="2" applyFont="1" applyFill="1"/>
    <xf numFmtId="0" fontId="4" fillId="0" borderId="0" xfId="1" applyFont="1" applyFill="1"/>
    <xf numFmtId="49" fontId="3" fillId="0" borderId="0" xfId="0" applyNumberFormat="1" applyFont="1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zoomScale="60" zoomScaleNormal="60" workbookViewId="0">
      <selection activeCell="D38" sqref="D38"/>
    </sheetView>
  </sheetViews>
  <sheetFormatPr defaultRowHeight="15" x14ac:dyDescent="0.25"/>
  <cols>
    <col min="3" max="7" width="17.5703125" customWidth="1"/>
    <col min="8" max="8" width="19.28515625" style="3" customWidth="1"/>
    <col min="9" max="9" width="20" style="3" customWidth="1"/>
    <col min="10" max="11" width="15.42578125" style="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>
        <v>1</v>
      </c>
      <c r="B2">
        <v>0</v>
      </c>
      <c r="C2">
        <f>2.5/314.35*10^6</f>
        <v>7952.9187211706694</v>
      </c>
      <c r="D2" t="s">
        <v>11</v>
      </c>
      <c r="E2" t="s">
        <v>11</v>
      </c>
      <c r="F2" t="s">
        <v>11</v>
      </c>
      <c r="G2" t="s">
        <v>11</v>
      </c>
    </row>
    <row r="3" spans="1:11" x14ac:dyDescent="0.25">
      <c r="A3">
        <v>1</v>
      </c>
      <c r="B3">
        <v>0.5</v>
      </c>
      <c r="D3">
        <v>0.44800000000000001</v>
      </c>
      <c r="E3">
        <v>2.8000000000000001E-2</v>
      </c>
      <c r="F3">
        <v>0.222</v>
      </c>
      <c r="G3" t="s">
        <v>11</v>
      </c>
      <c r="H3" s="1">
        <v>0.10299999999999999</v>
      </c>
      <c r="K3" s="1">
        <v>2.52</v>
      </c>
    </row>
    <row r="4" spans="1:11" x14ac:dyDescent="0.25">
      <c r="A4">
        <v>1</v>
      </c>
      <c r="B4">
        <v>1</v>
      </c>
      <c r="D4">
        <v>1.3640000000000001</v>
      </c>
      <c r="E4">
        <v>1.5529999999999999</v>
      </c>
      <c r="F4">
        <v>2.581</v>
      </c>
      <c r="G4">
        <v>1.645</v>
      </c>
      <c r="H4">
        <v>21.253</v>
      </c>
      <c r="I4">
        <v>7.5869999999999997</v>
      </c>
      <c r="J4">
        <v>13.061</v>
      </c>
      <c r="K4" s="4">
        <v>21.097999999999999</v>
      </c>
    </row>
    <row r="5" spans="1:11" x14ac:dyDescent="0.25">
      <c r="A5">
        <v>1</v>
      </c>
      <c r="B5">
        <v>1.5</v>
      </c>
      <c r="D5">
        <v>0.47</v>
      </c>
      <c r="E5">
        <v>0.66</v>
      </c>
      <c r="F5">
        <v>1.3129999999999999</v>
      </c>
      <c r="G5">
        <v>1.0580000000000001</v>
      </c>
      <c r="H5">
        <v>16.023</v>
      </c>
      <c r="I5">
        <v>13.848000000000001</v>
      </c>
      <c r="J5">
        <v>31.731999999999999</v>
      </c>
      <c r="K5" s="5">
        <v>30.402000000000001</v>
      </c>
    </row>
    <row r="6" spans="1:11" x14ac:dyDescent="0.25">
      <c r="A6">
        <v>1</v>
      </c>
      <c r="B6">
        <v>2</v>
      </c>
      <c r="D6">
        <v>0.23899999999999999</v>
      </c>
      <c r="E6">
        <v>0.47899999999999998</v>
      </c>
      <c r="F6">
        <v>0.70699999999999996</v>
      </c>
      <c r="G6">
        <v>0.64</v>
      </c>
      <c r="H6">
        <v>10.909000000000001</v>
      </c>
      <c r="I6">
        <v>10.236000000000001</v>
      </c>
      <c r="J6" s="5">
        <v>32.78</v>
      </c>
      <c r="K6" s="4">
        <v>28.177</v>
      </c>
    </row>
    <row r="7" spans="1:11" x14ac:dyDescent="0.25">
      <c r="A7">
        <v>1</v>
      </c>
      <c r="B7">
        <v>3</v>
      </c>
      <c r="D7">
        <v>0.124</v>
      </c>
      <c r="E7">
        <v>0.223</v>
      </c>
      <c r="F7">
        <v>0.42499999999999999</v>
      </c>
      <c r="G7">
        <v>0.32500000000000001</v>
      </c>
      <c r="H7">
        <v>5.7949999999999999</v>
      </c>
      <c r="I7">
        <v>5.3339999999999996</v>
      </c>
      <c r="J7">
        <v>27.321999999999999</v>
      </c>
      <c r="K7" s="4">
        <v>20.881</v>
      </c>
    </row>
    <row r="8" spans="1:11" x14ac:dyDescent="0.25">
      <c r="A8">
        <v>1</v>
      </c>
      <c r="B8">
        <v>4</v>
      </c>
      <c r="D8">
        <v>5.7000000000000002E-2</v>
      </c>
      <c r="E8">
        <v>7.1999999999999995E-2</v>
      </c>
      <c r="F8">
        <v>0.29099999999999998</v>
      </c>
      <c r="G8">
        <v>0.249</v>
      </c>
      <c r="H8">
        <v>4.7590000000000003</v>
      </c>
      <c r="I8">
        <v>3.37</v>
      </c>
      <c r="J8">
        <v>19.388000000000002</v>
      </c>
      <c r="K8" s="4">
        <v>12.885999999999999</v>
      </c>
    </row>
    <row r="9" spans="1:11" x14ac:dyDescent="0.25">
      <c r="A9">
        <v>1</v>
      </c>
      <c r="B9">
        <v>6</v>
      </c>
      <c r="D9">
        <v>2.4E-2</v>
      </c>
      <c r="E9">
        <v>3.2000000000000001E-2</v>
      </c>
      <c r="F9">
        <v>0.20599999999999999</v>
      </c>
      <c r="G9">
        <v>0.152</v>
      </c>
      <c r="H9">
        <v>2.3959999999999999</v>
      </c>
      <c r="I9">
        <v>1.946</v>
      </c>
      <c r="J9">
        <v>10.319000000000001</v>
      </c>
      <c r="K9" s="4">
        <v>7.8979999999999997</v>
      </c>
    </row>
    <row r="10" spans="1:11" x14ac:dyDescent="0.25">
      <c r="A10">
        <v>1</v>
      </c>
      <c r="B10">
        <v>8</v>
      </c>
      <c r="D10">
        <v>1.4999999999999999E-2</v>
      </c>
      <c r="E10">
        <v>1.7000000000000001E-2</v>
      </c>
      <c r="F10">
        <v>0.161</v>
      </c>
      <c r="G10">
        <v>0.13800000000000001</v>
      </c>
      <c r="H10">
        <v>1.52</v>
      </c>
      <c r="I10">
        <v>1.4039999999999999</v>
      </c>
      <c r="J10">
        <v>7.1790000000000003</v>
      </c>
      <c r="K10" s="4">
        <v>7.6379999999999999</v>
      </c>
    </row>
    <row r="11" spans="1:11" x14ac:dyDescent="0.25">
      <c r="A11">
        <v>1</v>
      </c>
      <c r="B11">
        <v>10</v>
      </c>
      <c r="D11">
        <v>8.0000000000000002E-3</v>
      </c>
      <c r="E11">
        <v>1.6E-2</v>
      </c>
      <c r="F11">
        <v>0.20899999999999999</v>
      </c>
      <c r="G11">
        <v>0.157</v>
      </c>
      <c r="H11">
        <v>2.157</v>
      </c>
      <c r="I11">
        <v>2.2559999999999998</v>
      </c>
      <c r="J11">
        <v>5.5229999999999997</v>
      </c>
      <c r="K11" s="4">
        <v>7.9219999999999997</v>
      </c>
    </row>
    <row r="12" spans="1:11" x14ac:dyDescent="0.25">
      <c r="A12">
        <v>1</v>
      </c>
      <c r="B12">
        <v>12</v>
      </c>
      <c r="D12">
        <v>6.0000000000000001E-3</v>
      </c>
      <c r="E12">
        <v>1.7000000000000001E-2</v>
      </c>
      <c r="F12">
        <v>0.17399999999999999</v>
      </c>
      <c r="G12">
        <v>0.16600000000000001</v>
      </c>
      <c r="H12">
        <v>1.919</v>
      </c>
      <c r="I12">
        <v>2.1560000000000001</v>
      </c>
      <c r="J12">
        <v>5.3609999999999998</v>
      </c>
      <c r="K12" s="4">
        <v>5.5940000000000003</v>
      </c>
    </row>
    <row r="13" spans="1:11" x14ac:dyDescent="0.25">
      <c r="A13">
        <v>1</v>
      </c>
      <c r="B13">
        <v>24</v>
      </c>
      <c r="D13">
        <v>1E-3</v>
      </c>
      <c r="E13">
        <v>7.0000000000000001E-3</v>
      </c>
      <c r="F13">
        <v>0.108</v>
      </c>
      <c r="G13">
        <v>0.10199999999999999</v>
      </c>
      <c r="H13">
        <v>2.0110000000000001</v>
      </c>
      <c r="J13">
        <v>4.569</v>
      </c>
      <c r="K13" s="5">
        <v>3.0049999999999999</v>
      </c>
    </row>
    <row r="14" spans="1:11" x14ac:dyDescent="0.25">
      <c r="A14">
        <v>2</v>
      </c>
      <c r="B14">
        <v>0</v>
      </c>
      <c r="C14">
        <f>2.5/314.35*10^6</f>
        <v>7952.9187211706694</v>
      </c>
      <c r="D14" t="s">
        <v>11</v>
      </c>
      <c r="E14" t="s">
        <v>11</v>
      </c>
      <c r="F14" t="s">
        <v>11</v>
      </c>
      <c r="G14" t="s">
        <v>11</v>
      </c>
    </row>
    <row r="15" spans="1:11" x14ac:dyDescent="0.25">
      <c r="A15">
        <v>2</v>
      </c>
      <c r="B15">
        <v>0.5</v>
      </c>
      <c r="D15">
        <v>2.4470000000000001</v>
      </c>
      <c r="E15">
        <v>1.5660000000000001</v>
      </c>
      <c r="F15">
        <v>0.42799999999999999</v>
      </c>
      <c r="G15">
        <v>1.089</v>
      </c>
      <c r="H15">
        <v>1.964</v>
      </c>
      <c r="I15" s="4">
        <v>4.4960000000000004</v>
      </c>
      <c r="K15" s="6">
        <v>0.53500000000000003</v>
      </c>
    </row>
    <row r="16" spans="1:11" x14ac:dyDescent="0.25">
      <c r="A16">
        <v>2</v>
      </c>
      <c r="B16">
        <v>1</v>
      </c>
      <c r="D16">
        <v>2.0099999999999998</v>
      </c>
      <c r="E16">
        <v>1.2589999999999999</v>
      </c>
      <c r="F16">
        <v>1.893</v>
      </c>
      <c r="G16">
        <v>0.95499999999999996</v>
      </c>
      <c r="H16">
        <v>21.734000000000002</v>
      </c>
      <c r="I16" s="4">
        <v>10.523999999999999</v>
      </c>
      <c r="J16" s="4">
        <v>18.352</v>
      </c>
      <c r="K16" s="4">
        <v>9.9410000000000007</v>
      </c>
    </row>
    <row r="17" spans="1:11" x14ac:dyDescent="0.25">
      <c r="A17">
        <v>2</v>
      </c>
      <c r="B17">
        <v>1.5</v>
      </c>
      <c r="D17">
        <v>0.96899999999999997</v>
      </c>
      <c r="E17">
        <v>0.96599999999999997</v>
      </c>
      <c r="F17">
        <v>1.355</v>
      </c>
      <c r="G17">
        <v>1</v>
      </c>
      <c r="H17">
        <v>17.504999999999999</v>
      </c>
      <c r="I17" s="4">
        <v>13.734</v>
      </c>
      <c r="J17" s="5">
        <v>34.442999999999998</v>
      </c>
      <c r="K17" s="4">
        <v>21.513999999999999</v>
      </c>
    </row>
    <row r="18" spans="1:11" x14ac:dyDescent="0.25">
      <c r="A18">
        <v>2</v>
      </c>
      <c r="B18">
        <v>2</v>
      </c>
      <c r="D18">
        <v>0.88400000000000001</v>
      </c>
      <c r="E18">
        <v>0.83799999999999997</v>
      </c>
      <c r="F18">
        <v>1.3180000000000001</v>
      </c>
      <c r="G18">
        <v>0.60099999999999998</v>
      </c>
      <c r="H18">
        <v>16.155999999999999</v>
      </c>
      <c r="I18" s="4">
        <v>10.259</v>
      </c>
      <c r="J18" s="6">
        <v>45.405999999999999</v>
      </c>
      <c r="K18" s="4">
        <v>27.484999999999999</v>
      </c>
    </row>
    <row r="19" spans="1:11" x14ac:dyDescent="0.25">
      <c r="A19">
        <v>2</v>
      </c>
      <c r="B19">
        <v>3</v>
      </c>
      <c r="D19">
        <v>0.46600000000000003</v>
      </c>
      <c r="E19">
        <v>0.42599999999999999</v>
      </c>
      <c r="F19">
        <v>0.63200000000000001</v>
      </c>
      <c r="G19">
        <v>0.33300000000000002</v>
      </c>
      <c r="H19">
        <v>8.0830000000000002</v>
      </c>
      <c r="I19" s="4">
        <v>7.0640000000000001</v>
      </c>
      <c r="J19" s="6">
        <v>45.170999999999999</v>
      </c>
      <c r="K19" s="4">
        <v>25.895</v>
      </c>
    </row>
    <row r="20" spans="1:11" x14ac:dyDescent="0.25">
      <c r="A20">
        <v>2</v>
      </c>
      <c r="B20">
        <v>4</v>
      </c>
      <c r="D20">
        <v>0.13900000000000001</v>
      </c>
      <c r="E20">
        <v>0.252</v>
      </c>
      <c r="F20">
        <v>0.40899999999999997</v>
      </c>
      <c r="G20">
        <v>0.222</v>
      </c>
      <c r="H20">
        <v>6.0510000000000002</v>
      </c>
      <c r="I20" s="4">
        <v>5.4859999999999998</v>
      </c>
      <c r="J20" s="6">
        <v>37.965000000000003</v>
      </c>
      <c r="K20" s="4">
        <v>19.526</v>
      </c>
    </row>
    <row r="21" spans="1:11" x14ac:dyDescent="0.25">
      <c r="A21">
        <v>2</v>
      </c>
      <c r="B21">
        <v>6</v>
      </c>
      <c r="D21">
        <v>5.7000000000000002E-2</v>
      </c>
      <c r="E21">
        <v>0.106</v>
      </c>
      <c r="F21">
        <v>0.18</v>
      </c>
      <c r="G21">
        <v>0.127</v>
      </c>
      <c r="H21">
        <v>2.9980000000000002</v>
      </c>
      <c r="I21" s="4">
        <v>2.3180000000000001</v>
      </c>
      <c r="J21" s="4">
        <v>22.568999999999999</v>
      </c>
      <c r="K21" s="4">
        <v>14.878</v>
      </c>
    </row>
    <row r="22" spans="1:11" x14ac:dyDescent="0.25">
      <c r="A22">
        <v>2</v>
      </c>
      <c r="B22">
        <v>8</v>
      </c>
      <c r="D22">
        <v>2.7E-2</v>
      </c>
      <c r="E22" t="s">
        <v>11</v>
      </c>
      <c r="F22">
        <v>0.13500000000000001</v>
      </c>
      <c r="G22" t="s">
        <v>11</v>
      </c>
      <c r="H22">
        <v>2.423</v>
      </c>
      <c r="I22" s="4">
        <v>1.613</v>
      </c>
      <c r="J22" s="4">
        <v>15.624000000000001</v>
      </c>
      <c r="K22" s="4">
        <v>13.755000000000001</v>
      </c>
    </row>
    <row r="23" spans="1:11" x14ac:dyDescent="0.25">
      <c r="A23">
        <v>2</v>
      </c>
      <c r="B23">
        <v>10</v>
      </c>
      <c r="D23">
        <v>2.5000000000000001E-2</v>
      </c>
      <c r="E23">
        <v>0.03</v>
      </c>
      <c r="F23">
        <v>0.15</v>
      </c>
      <c r="G23">
        <v>0.11</v>
      </c>
      <c r="H23">
        <v>2.0059999999999998</v>
      </c>
      <c r="I23" s="4">
        <v>1.0029999999999999</v>
      </c>
      <c r="J23" s="4">
        <v>12.987</v>
      </c>
      <c r="K23" s="4">
        <v>8.7680000000000007</v>
      </c>
    </row>
    <row r="24" spans="1:11" x14ac:dyDescent="0.25">
      <c r="A24">
        <v>2</v>
      </c>
      <c r="B24">
        <v>12</v>
      </c>
      <c r="D24">
        <v>2.1999999999999999E-2</v>
      </c>
      <c r="E24">
        <v>1.4E-2</v>
      </c>
      <c r="F24">
        <v>0.114</v>
      </c>
      <c r="G24">
        <v>0.10199999999999999</v>
      </c>
      <c r="H24">
        <v>1.4450000000000001</v>
      </c>
      <c r="I24" s="4">
        <v>1.5169999999999999</v>
      </c>
      <c r="J24" s="4">
        <v>10.166</v>
      </c>
      <c r="K24" s="4">
        <v>6.7720000000000002</v>
      </c>
    </row>
    <row r="25" spans="1:11" x14ac:dyDescent="0.25">
      <c r="A25">
        <v>2</v>
      </c>
      <c r="B25">
        <v>24</v>
      </c>
      <c r="D25">
        <v>2.9000000000000001E-2</v>
      </c>
      <c r="E25" s="2">
        <v>8.9999999999999993E-3</v>
      </c>
      <c r="F25" s="1">
        <v>3.7999999999999999E-2</v>
      </c>
      <c r="G25">
        <v>0.112</v>
      </c>
      <c r="H25">
        <v>1.288</v>
      </c>
      <c r="I25" s="5">
        <v>0.95799999999999996</v>
      </c>
      <c r="J25" s="4">
        <v>6.5369999999999999</v>
      </c>
      <c r="K25" s="4">
        <v>3.9020000000000001</v>
      </c>
    </row>
    <row r="26" spans="1:11" x14ac:dyDescent="0.25">
      <c r="A26">
        <v>5</v>
      </c>
      <c r="B26">
        <v>0</v>
      </c>
      <c r="C26">
        <f>2.5/314.35*10^6</f>
        <v>7952.9187211706694</v>
      </c>
      <c r="I26" s="1">
        <v>4.3999999999999997E-2</v>
      </c>
      <c r="J26"/>
      <c r="K26" s="1">
        <v>0.83399999999999996</v>
      </c>
    </row>
    <row r="27" spans="1:11" x14ac:dyDescent="0.25">
      <c r="A27">
        <v>5</v>
      </c>
      <c r="B27">
        <v>0.5</v>
      </c>
      <c r="D27" t="s">
        <v>12</v>
      </c>
      <c r="E27" t="s">
        <v>12</v>
      </c>
      <c r="F27" t="s">
        <v>11</v>
      </c>
      <c r="G27" t="s">
        <v>11</v>
      </c>
      <c r="I27" s="1" t="s">
        <v>12</v>
      </c>
      <c r="J27" s="1">
        <v>0.91100000000000003</v>
      </c>
      <c r="K27" s="1">
        <v>0.94799999999999995</v>
      </c>
    </row>
    <row r="28" spans="1:11" x14ac:dyDescent="0.25">
      <c r="A28">
        <v>5</v>
      </c>
      <c r="B28">
        <v>1</v>
      </c>
      <c r="D28">
        <v>0.28199999999999997</v>
      </c>
      <c r="E28">
        <v>5.0000000000000001E-3</v>
      </c>
      <c r="F28">
        <v>3.5999999999999997E-2</v>
      </c>
      <c r="G28" t="s">
        <v>11</v>
      </c>
      <c r="H28" s="1">
        <v>0.59199999999999997</v>
      </c>
      <c r="I28" s="1">
        <v>5.3999999999999999E-2</v>
      </c>
      <c r="J28"/>
      <c r="K28" s="1">
        <v>0.64100000000000001</v>
      </c>
    </row>
    <row r="29" spans="1:11" x14ac:dyDescent="0.25">
      <c r="A29">
        <v>5</v>
      </c>
      <c r="B29">
        <v>1.5</v>
      </c>
      <c r="D29">
        <v>3.38</v>
      </c>
      <c r="E29">
        <v>2.8330000000000002</v>
      </c>
      <c r="F29">
        <v>2.9049999999999998</v>
      </c>
      <c r="G29">
        <v>0.997</v>
      </c>
      <c r="H29">
        <v>12.462999999999999</v>
      </c>
      <c r="I29">
        <v>4.4130000000000003</v>
      </c>
      <c r="J29">
        <v>6.444</v>
      </c>
      <c r="K29" s="1">
        <v>1.25</v>
      </c>
    </row>
    <row r="30" spans="1:11" x14ac:dyDescent="0.25">
      <c r="A30">
        <v>5</v>
      </c>
      <c r="B30">
        <v>2</v>
      </c>
      <c r="D30">
        <v>2.1030000000000002</v>
      </c>
      <c r="E30">
        <v>1.454</v>
      </c>
      <c r="F30">
        <v>3.472</v>
      </c>
      <c r="G30">
        <v>1.581</v>
      </c>
      <c r="H30">
        <v>23.489000000000001</v>
      </c>
      <c r="I30">
        <v>21.399000000000001</v>
      </c>
      <c r="J30">
        <v>30.577000000000002</v>
      </c>
      <c r="K30">
        <v>20.599</v>
      </c>
    </row>
    <row r="31" spans="1:11" x14ac:dyDescent="0.25">
      <c r="A31">
        <v>5</v>
      </c>
      <c r="B31">
        <v>3</v>
      </c>
      <c r="D31">
        <v>3.3559999999999999</v>
      </c>
      <c r="E31">
        <v>0.91800000000000004</v>
      </c>
      <c r="F31">
        <v>2.1219999999999999</v>
      </c>
      <c r="G31">
        <v>1.05</v>
      </c>
      <c r="H31">
        <v>15.46</v>
      </c>
      <c r="I31">
        <v>12.744</v>
      </c>
      <c r="J31">
        <v>53.494</v>
      </c>
      <c r="K31">
        <v>42.381999999999998</v>
      </c>
    </row>
    <row r="32" spans="1:11" x14ac:dyDescent="0.25">
      <c r="A32">
        <v>5</v>
      </c>
      <c r="B32">
        <v>4</v>
      </c>
      <c r="D32">
        <v>0.46100000000000002</v>
      </c>
      <c r="E32">
        <v>0.33500000000000002</v>
      </c>
      <c r="F32">
        <v>0.47699999999999998</v>
      </c>
      <c r="G32">
        <v>0.44</v>
      </c>
      <c r="H32">
        <v>9.4160000000000004</v>
      </c>
      <c r="I32">
        <v>10.62</v>
      </c>
      <c r="J32">
        <v>48.53</v>
      </c>
      <c r="K32">
        <v>40.558999999999997</v>
      </c>
    </row>
    <row r="33" spans="1:11" x14ac:dyDescent="0.25">
      <c r="A33">
        <v>5</v>
      </c>
      <c r="B33">
        <v>6</v>
      </c>
      <c r="D33">
        <v>0.22500000000000001</v>
      </c>
      <c r="E33">
        <v>6.7000000000000004E-2</v>
      </c>
      <c r="F33">
        <v>0.28699999999999998</v>
      </c>
      <c r="G33">
        <v>5.8999999999999997E-2</v>
      </c>
      <c r="H33">
        <v>6.68</v>
      </c>
      <c r="I33">
        <v>6.8479999999999999</v>
      </c>
      <c r="J33">
        <v>38.96</v>
      </c>
      <c r="K33">
        <v>31.541</v>
      </c>
    </row>
    <row r="34" spans="1:11" x14ac:dyDescent="0.25">
      <c r="A34">
        <v>5</v>
      </c>
      <c r="B34">
        <v>8</v>
      </c>
      <c r="D34">
        <v>9.9000000000000005E-2</v>
      </c>
      <c r="E34">
        <v>0.03</v>
      </c>
      <c r="F34">
        <v>0.245</v>
      </c>
      <c r="G34">
        <v>2E-3</v>
      </c>
      <c r="H34">
        <v>3.4510000000000001</v>
      </c>
      <c r="I34">
        <v>3.629</v>
      </c>
      <c r="J34">
        <v>27.504999999999999</v>
      </c>
      <c r="K34">
        <v>23.422999999999998</v>
      </c>
    </row>
    <row r="35" spans="1:11" x14ac:dyDescent="0.25">
      <c r="A35">
        <v>5</v>
      </c>
      <c r="B35">
        <v>10</v>
      </c>
      <c r="D35">
        <v>5.5E-2</v>
      </c>
      <c r="E35">
        <v>2.9000000000000001E-2</v>
      </c>
      <c r="F35">
        <v>0.126</v>
      </c>
      <c r="G35">
        <v>2.5000000000000001E-2</v>
      </c>
      <c r="H35">
        <v>2.8220000000000001</v>
      </c>
      <c r="I35">
        <v>4.0460000000000003</v>
      </c>
      <c r="J35">
        <v>18.603999999999999</v>
      </c>
      <c r="K35">
        <v>20.157</v>
      </c>
    </row>
    <row r="36" spans="1:11" x14ac:dyDescent="0.25">
      <c r="A36">
        <v>5</v>
      </c>
      <c r="B36">
        <v>12</v>
      </c>
      <c r="D36">
        <v>6.0999999999999999E-2</v>
      </c>
      <c r="E36">
        <v>3.1E-2</v>
      </c>
      <c r="F36">
        <v>8.3000000000000004E-2</v>
      </c>
      <c r="G36">
        <v>0.307</v>
      </c>
      <c r="H36">
        <v>3.6920000000000002</v>
      </c>
      <c r="I36">
        <v>4.5010000000000003</v>
      </c>
      <c r="J36">
        <v>18.071000000000002</v>
      </c>
      <c r="K36">
        <v>19.585999999999999</v>
      </c>
    </row>
    <row r="37" spans="1:11" x14ac:dyDescent="0.25">
      <c r="A37">
        <v>5</v>
      </c>
      <c r="B37">
        <v>24</v>
      </c>
      <c r="D37">
        <v>2.7E-2</v>
      </c>
      <c r="E37" t="s">
        <v>12</v>
      </c>
      <c r="F37" t="s">
        <v>12</v>
      </c>
      <c r="G37" t="s">
        <v>12</v>
      </c>
      <c r="H37">
        <v>1.849</v>
      </c>
      <c r="I37">
        <v>2.9670000000000001</v>
      </c>
      <c r="J37">
        <v>8.9760000000000009</v>
      </c>
      <c r="K37">
        <v>14.335000000000001</v>
      </c>
    </row>
    <row r="38" spans="1:11" x14ac:dyDescent="0.25">
      <c r="A38">
        <v>6</v>
      </c>
      <c r="B38">
        <v>0</v>
      </c>
      <c r="C38">
        <f>2.5/314.35*10^6</f>
        <v>7952.9187211706694</v>
      </c>
      <c r="I38" s="1" t="s">
        <v>12</v>
      </c>
      <c r="K38" s="1">
        <v>0.27800000000000002</v>
      </c>
    </row>
    <row r="39" spans="1:11" x14ac:dyDescent="0.25">
      <c r="A39">
        <v>6</v>
      </c>
      <c r="B39">
        <v>0.5</v>
      </c>
      <c r="E39">
        <v>2.0529999999999999</v>
      </c>
      <c r="G39">
        <v>2.7490000000000001</v>
      </c>
      <c r="I39">
        <v>0.182</v>
      </c>
      <c r="K39" s="1">
        <v>0.44900000000000001</v>
      </c>
    </row>
    <row r="40" spans="1:11" x14ac:dyDescent="0.25">
      <c r="A40">
        <v>6</v>
      </c>
      <c r="B40">
        <v>1</v>
      </c>
      <c r="D40" t="s">
        <v>13</v>
      </c>
      <c r="E40">
        <v>1.8919999999999999</v>
      </c>
      <c r="G40">
        <v>2.7730000000000001</v>
      </c>
      <c r="I40">
        <v>20.959</v>
      </c>
      <c r="K40" s="4">
        <v>24.347000000000001</v>
      </c>
    </row>
    <row r="41" spans="1:11" x14ac:dyDescent="0.25">
      <c r="A41">
        <v>6</v>
      </c>
      <c r="B41">
        <v>1.5</v>
      </c>
      <c r="D41">
        <v>0.96899999999999997</v>
      </c>
      <c r="E41">
        <v>1.6679999999999999</v>
      </c>
      <c r="F41">
        <v>0.67300000000000004</v>
      </c>
      <c r="G41">
        <v>1.228</v>
      </c>
      <c r="I41">
        <v>21.574999999999999</v>
      </c>
      <c r="K41" s="6">
        <v>57.442</v>
      </c>
    </row>
    <row r="42" spans="1:11" x14ac:dyDescent="0.25">
      <c r="A42">
        <v>6</v>
      </c>
      <c r="B42">
        <v>2</v>
      </c>
      <c r="D42">
        <v>0.89600000000000002</v>
      </c>
      <c r="E42">
        <v>1.399</v>
      </c>
      <c r="F42">
        <v>0.81499999999999995</v>
      </c>
      <c r="G42">
        <v>1.3979999999999999</v>
      </c>
      <c r="H42" s="1">
        <v>0.35299999999999998</v>
      </c>
      <c r="I42">
        <v>16.288</v>
      </c>
      <c r="K42" s="6">
        <v>67.704999999999998</v>
      </c>
    </row>
    <row r="43" spans="1:11" x14ac:dyDescent="0.25">
      <c r="A43">
        <v>6</v>
      </c>
      <c r="B43">
        <v>3</v>
      </c>
      <c r="D43">
        <v>11.545999999999999</v>
      </c>
      <c r="E43">
        <v>6.7359999999999998</v>
      </c>
      <c r="F43">
        <v>4.4909999999999997</v>
      </c>
      <c r="G43">
        <v>2.6970000000000001</v>
      </c>
      <c r="H43">
        <v>25.045000000000002</v>
      </c>
      <c r="I43">
        <v>12.416</v>
      </c>
      <c r="J43" s="5">
        <v>36.423000000000002</v>
      </c>
      <c r="K43" s="6">
        <v>69.304000000000002</v>
      </c>
    </row>
    <row r="44" spans="1:11" x14ac:dyDescent="0.25">
      <c r="A44">
        <v>6</v>
      </c>
      <c r="B44">
        <v>4</v>
      </c>
      <c r="D44">
        <v>1.542</v>
      </c>
      <c r="E44">
        <v>0.51200000000000001</v>
      </c>
      <c r="F44">
        <v>1.3069999999999999</v>
      </c>
      <c r="G44">
        <v>0.72099999999999997</v>
      </c>
      <c r="H44">
        <v>15.698</v>
      </c>
      <c r="I44">
        <v>8.7159999999999993</v>
      </c>
      <c r="J44" s="6">
        <v>54.863999999999997</v>
      </c>
      <c r="K44" s="6">
        <v>51.567999999999998</v>
      </c>
    </row>
    <row r="45" spans="1:11" x14ac:dyDescent="0.25">
      <c r="A45">
        <v>6</v>
      </c>
      <c r="B45">
        <v>6</v>
      </c>
      <c r="D45">
        <v>0.33400000000000002</v>
      </c>
      <c r="E45">
        <v>0.16400000000000001</v>
      </c>
      <c r="F45">
        <v>0.45</v>
      </c>
      <c r="G45">
        <v>0.42</v>
      </c>
      <c r="H45">
        <v>11.087</v>
      </c>
      <c r="I45">
        <v>6.5289999999999999</v>
      </c>
      <c r="J45" s="6">
        <v>43.289000000000001</v>
      </c>
      <c r="K45" s="6">
        <v>38.853000000000002</v>
      </c>
    </row>
    <row r="46" spans="1:11" x14ac:dyDescent="0.25">
      <c r="A46">
        <v>6</v>
      </c>
      <c r="B46">
        <v>8</v>
      </c>
      <c r="D46">
        <v>0.13400000000000001</v>
      </c>
      <c r="E46">
        <v>3.6999999999999998E-2</v>
      </c>
      <c r="F46">
        <v>0.49299999999999999</v>
      </c>
      <c r="G46">
        <v>0.42599999999999999</v>
      </c>
      <c r="H46">
        <v>7.7009999999999996</v>
      </c>
      <c r="I46">
        <v>4.9589999999999996</v>
      </c>
      <c r="J46" s="6">
        <v>39.901000000000003</v>
      </c>
      <c r="K46" s="4">
        <v>28.559000000000001</v>
      </c>
    </row>
    <row r="47" spans="1:11" x14ac:dyDescent="0.25">
      <c r="A47">
        <v>6</v>
      </c>
      <c r="B47">
        <v>10</v>
      </c>
      <c r="D47">
        <v>2.5999999999999999E-2</v>
      </c>
      <c r="E47" t="s">
        <v>12</v>
      </c>
      <c r="F47">
        <v>0.47399999999999998</v>
      </c>
      <c r="G47">
        <v>0.38700000000000001</v>
      </c>
      <c r="H47">
        <v>6.31</v>
      </c>
      <c r="I47">
        <v>5.7759999999999998</v>
      </c>
      <c r="J47">
        <v>28.158000000000001</v>
      </c>
      <c r="K47">
        <v>25.111999999999998</v>
      </c>
    </row>
    <row r="48" spans="1:11" x14ac:dyDescent="0.25">
      <c r="A48">
        <v>6</v>
      </c>
      <c r="B48">
        <v>12</v>
      </c>
      <c r="D48">
        <v>2.4E-2</v>
      </c>
      <c r="E48" t="s">
        <v>12</v>
      </c>
      <c r="F48">
        <v>0.379</v>
      </c>
      <c r="G48">
        <v>0.35599999999999998</v>
      </c>
      <c r="H48">
        <v>7.2569999999999997</v>
      </c>
      <c r="I48">
        <v>5.0460000000000003</v>
      </c>
      <c r="J48">
        <v>26.402999999999999</v>
      </c>
      <c r="K48">
        <v>20.507999999999999</v>
      </c>
    </row>
    <row r="49" spans="1:11" x14ac:dyDescent="0.25">
      <c r="A49">
        <v>6</v>
      </c>
      <c r="B49">
        <v>24</v>
      </c>
      <c r="D49">
        <v>1.4E-2</v>
      </c>
      <c r="E49">
        <v>1.2999999999999999E-2</v>
      </c>
      <c r="F49">
        <v>0.19900000000000001</v>
      </c>
      <c r="G49">
        <v>0.17799999999999999</v>
      </c>
      <c r="H49">
        <v>2.6459999999999999</v>
      </c>
      <c r="I49">
        <v>2.8849999999999998</v>
      </c>
      <c r="J49">
        <v>12.644</v>
      </c>
      <c r="K49">
        <v>11.259</v>
      </c>
    </row>
    <row r="50" spans="1:11" x14ac:dyDescent="0.25">
      <c r="A50">
        <v>8</v>
      </c>
      <c r="B50">
        <v>0</v>
      </c>
      <c r="C50">
        <f>2.5/314.35*10^6</f>
        <v>7952.9187211706694</v>
      </c>
      <c r="E50" t="s">
        <v>12</v>
      </c>
      <c r="I50" s="1">
        <v>7.1999999999999995E-2</v>
      </c>
      <c r="K50" s="1">
        <v>1.165</v>
      </c>
    </row>
    <row r="51" spans="1:11" x14ac:dyDescent="0.25">
      <c r="A51">
        <v>8</v>
      </c>
      <c r="B51">
        <v>0.5</v>
      </c>
      <c r="D51">
        <v>0.45600000000000002</v>
      </c>
      <c r="E51" t="s">
        <v>12</v>
      </c>
      <c r="F51">
        <v>0.439</v>
      </c>
      <c r="G51" t="s">
        <v>11</v>
      </c>
      <c r="H51">
        <v>0.91100000000000003</v>
      </c>
      <c r="I51" s="1">
        <v>5.5E-2</v>
      </c>
      <c r="K51" s="1">
        <v>1.1160000000000001</v>
      </c>
    </row>
    <row r="52" spans="1:11" x14ac:dyDescent="0.25">
      <c r="A52">
        <v>8</v>
      </c>
      <c r="B52">
        <v>1</v>
      </c>
      <c r="D52">
        <v>1.7450000000000001</v>
      </c>
      <c r="E52" t="s">
        <v>12</v>
      </c>
      <c r="F52">
        <v>5.3220000000000001</v>
      </c>
      <c r="G52" t="s">
        <v>11</v>
      </c>
      <c r="H52">
        <v>12.34</v>
      </c>
      <c r="I52" s="1">
        <v>4.2999999999999997E-2</v>
      </c>
      <c r="J52">
        <v>6.3529999999999998</v>
      </c>
      <c r="K52" s="1">
        <v>1.1519999999999999</v>
      </c>
    </row>
    <row r="53" spans="1:11" x14ac:dyDescent="0.25">
      <c r="A53">
        <v>8</v>
      </c>
      <c r="B53">
        <v>1.5</v>
      </c>
      <c r="D53">
        <v>1.891</v>
      </c>
      <c r="E53" t="s">
        <v>12</v>
      </c>
      <c r="F53">
        <v>3.206</v>
      </c>
      <c r="G53" t="s">
        <v>11</v>
      </c>
      <c r="H53">
        <v>16.375</v>
      </c>
      <c r="I53" s="1">
        <v>1.7999999999999999E-2</v>
      </c>
      <c r="J53">
        <v>18.088000000000001</v>
      </c>
      <c r="K53" s="1">
        <v>0.96599999999999997</v>
      </c>
    </row>
    <row r="54" spans="1:11" x14ac:dyDescent="0.25">
      <c r="A54">
        <v>8</v>
      </c>
      <c r="B54">
        <v>2</v>
      </c>
      <c r="D54">
        <v>1.167</v>
      </c>
      <c r="E54" t="s">
        <v>12</v>
      </c>
      <c r="F54">
        <v>1.847</v>
      </c>
      <c r="G54" t="s">
        <v>11</v>
      </c>
      <c r="H54">
        <v>16.722999999999999</v>
      </c>
      <c r="I54" s="1">
        <v>1.9E-2</v>
      </c>
      <c r="J54">
        <v>29.344999999999999</v>
      </c>
      <c r="K54" s="1">
        <v>1.1359999999999999</v>
      </c>
    </row>
    <row r="55" spans="1:11" x14ac:dyDescent="0.25">
      <c r="A55">
        <v>8</v>
      </c>
      <c r="B55">
        <v>3</v>
      </c>
      <c r="D55">
        <v>0.33900000000000002</v>
      </c>
      <c r="E55">
        <v>5.5490000000000004</v>
      </c>
      <c r="F55">
        <v>0.5</v>
      </c>
      <c r="G55">
        <v>7.2679999999999998</v>
      </c>
      <c r="H55">
        <v>9.0660000000000007</v>
      </c>
      <c r="I55">
        <v>8.6039999999999992</v>
      </c>
      <c r="J55">
        <v>31.085000000000001</v>
      </c>
      <c r="K55" s="1">
        <v>2.758</v>
      </c>
    </row>
    <row r="56" spans="1:11" x14ac:dyDescent="0.25">
      <c r="A56">
        <v>8</v>
      </c>
      <c r="B56">
        <v>4</v>
      </c>
      <c r="D56">
        <v>0.26800000000000002</v>
      </c>
      <c r="E56">
        <v>0.83199999999999996</v>
      </c>
      <c r="F56">
        <v>0.747</v>
      </c>
      <c r="G56">
        <v>1.9510000000000001</v>
      </c>
      <c r="H56">
        <v>5.5609999999999999</v>
      </c>
      <c r="I56">
        <v>5.7869999999999999</v>
      </c>
      <c r="J56">
        <v>25.19</v>
      </c>
      <c r="K56">
        <v>11.961</v>
      </c>
    </row>
    <row r="57" spans="1:11" x14ac:dyDescent="0.25">
      <c r="A57">
        <v>8</v>
      </c>
      <c r="B57">
        <v>6</v>
      </c>
      <c r="D57">
        <v>5.8999999999999997E-2</v>
      </c>
      <c r="E57">
        <v>0.218</v>
      </c>
      <c r="F57">
        <v>0.34799999999999998</v>
      </c>
      <c r="G57">
        <v>0.61899999999999999</v>
      </c>
      <c r="H57">
        <v>3.6589999999999998</v>
      </c>
      <c r="I57">
        <v>3.2250000000000001</v>
      </c>
      <c r="J57">
        <v>16.148</v>
      </c>
      <c r="K57">
        <v>11.404</v>
      </c>
    </row>
    <row r="58" spans="1:11" x14ac:dyDescent="0.25">
      <c r="A58">
        <v>8</v>
      </c>
      <c r="B58">
        <v>8</v>
      </c>
      <c r="D58">
        <v>4.0000000000000001E-3</v>
      </c>
      <c r="E58">
        <v>0.106</v>
      </c>
      <c r="F58">
        <v>0.28799999999999998</v>
      </c>
      <c r="G58">
        <v>0.39</v>
      </c>
      <c r="H58">
        <v>2.5110000000000001</v>
      </c>
      <c r="I58">
        <v>1.9750000000000001</v>
      </c>
      <c r="J58">
        <v>12.99</v>
      </c>
      <c r="K58">
        <v>9.1620000000000008</v>
      </c>
    </row>
    <row r="59" spans="1:11" x14ac:dyDescent="0.25">
      <c r="A59">
        <v>8</v>
      </c>
      <c r="B59">
        <v>10</v>
      </c>
      <c r="D59" t="s">
        <v>12</v>
      </c>
      <c r="E59">
        <v>2.5999999999999999E-2</v>
      </c>
      <c r="F59">
        <v>0.112</v>
      </c>
      <c r="G59">
        <v>0.35599999999999998</v>
      </c>
      <c r="H59">
        <v>2.2839999999999998</v>
      </c>
      <c r="I59">
        <v>1.6839999999999999</v>
      </c>
      <c r="J59">
        <v>10.696</v>
      </c>
      <c r="K59">
        <v>6.9269999999999996</v>
      </c>
    </row>
    <row r="60" spans="1:11" x14ac:dyDescent="0.25">
      <c r="A60">
        <v>8</v>
      </c>
      <c r="B60">
        <v>12</v>
      </c>
      <c r="D60" t="s">
        <v>12</v>
      </c>
      <c r="E60">
        <v>0.14099999999999999</v>
      </c>
      <c r="F60">
        <v>0.152</v>
      </c>
      <c r="G60">
        <v>0.23400000000000001</v>
      </c>
      <c r="H60">
        <v>1.929</v>
      </c>
      <c r="I60">
        <v>1.3360000000000001</v>
      </c>
      <c r="J60">
        <v>8.484</v>
      </c>
      <c r="K60">
        <v>4.0949999999999998</v>
      </c>
    </row>
    <row r="61" spans="1:11" x14ac:dyDescent="0.25">
      <c r="A61">
        <v>8</v>
      </c>
      <c r="B61">
        <v>24</v>
      </c>
      <c r="D61" t="s">
        <v>12</v>
      </c>
      <c r="E61">
        <v>9.4E-2</v>
      </c>
      <c r="F61" t="s">
        <v>11</v>
      </c>
      <c r="G61">
        <v>0.23599999999999999</v>
      </c>
      <c r="H61">
        <v>1.696</v>
      </c>
      <c r="I61">
        <v>2.5009999999999999</v>
      </c>
      <c r="J61">
        <v>6.5810000000000004</v>
      </c>
      <c r="K61">
        <v>7.5830000000000002</v>
      </c>
    </row>
    <row r="62" spans="1:11" x14ac:dyDescent="0.25">
      <c r="A62">
        <v>10</v>
      </c>
      <c r="B62">
        <v>0</v>
      </c>
      <c r="C62">
        <f>2.5/314.35*10^6</f>
        <v>7952.9187211706694</v>
      </c>
      <c r="I62" s="1">
        <v>0.31</v>
      </c>
      <c r="K62" s="1">
        <v>0.4</v>
      </c>
    </row>
    <row r="63" spans="1:11" x14ac:dyDescent="0.25">
      <c r="A63">
        <v>10</v>
      </c>
      <c r="B63">
        <v>0.5</v>
      </c>
      <c r="D63" t="s">
        <v>11</v>
      </c>
      <c r="E63" t="s">
        <v>12</v>
      </c>
      <c r="F63" t="s">
        <v>11</v>
      </c>
      <c r="G63" t="s">
        <v>11</v>
      </c>
      <c r="I63" s="1">
        <v>0.36</v>
      </c>
      <c r="K63" s="1">
        <v>0.7</v>
      </c>
    </row>
    <row r="64" spans="1:11" x14ac:dyDescent="0.25">
      <c r="A64">
        <v>10</v>
      </c>
      <c r="B64">
        <v>1</v>
      </c>
      <c r="D64" t="s">
        <v>12</v>
      </c>
      <c r="E64">
        <v>0.36099999999999999</v>
      </c>
      <c r="F64" t="s">
        <v>11</v>
      </c>
      <c r="G64">
        <v>0.10100000000000001</v>
      </c>
      <c r="I64" s="3">
        <v>3.89</v>
      </c>
      <c r="K64" s="1">
        <v>2.5299999999999998</v>
      </c>
    </row>
    <row r="65" spans="1:11" x14ac:dyDescent="0.25">
      <c r="A65">
        <v>10</v>
      </c>
      <c r="B65">
        <v>1.5</v>
      </c>
      <c r="D65" t="s">
        <v>12</v>
      </c>
      <c r="E65">
        <v>2.3180000000000001</v>
      </c>
      <c r="F65" t="s">
        <v>11</v>
      </c>
      <c r="G65">
        <v>1.1080000000000001</v>
      </c>
      <c r="I65" s="3">
        <v>9.8699999999999992</v>
      </c>
      <c r="K65" s="3">
        <v>5.82</v>
      </c>
    </row>
    <row r="66" spans="1:11" x14ac:dyDescent="0.25">
      <c r="A66">
        <v>10</v>
      </c>
      <c r="B66">
        <v>2</v>
      </c>
      <c r="D66">
        <v>0.438</v>
      </c>
      <c r="E66">
        <v>1.573</v>
      </c>
      <c r="F66" t="s">
        <v>12</v>
      </c>
      <c r="G66">
        <v>1.2849999999999999</v>
      </c>
      <c r="H66" s="1">
        <v>0.17</v>
      </c>
      <c r="I66" s="3">
        <v>15.21</v>
      </c>
      <c r="K66" s="3">
        <v>14.41</v>
      </c>
    </row>
    <row r="67" spans="1:11" x14ac:dyDescent="0.25">
      <c r="A67">
        <v>10</v>
      </c>
      <c r="B67">
        <v>3</v>
      </c>
      <c r="D67">
        <v>2.5169999999999999</v>
      </c>
      <c r="E67">
        <v>0.79900000000000004</v>
      </c>
      <c r="F67">
        <v>2.387</v>
      </c>
      <c r="G67">
        <v>0.69199999999999995</v>
      </c>
      <c r="H67" s="3">
        <v>12.64</v>
      </c>
      <c r="I67" s="3">
        <v>9.33</v>
      </c>
      <c r="J67" s="3">
        <v>14.18</v>
      </c>
      <c r="K67" s="3">
        <v>19.829999999999998</v>
      </c>
    </row>
    <row r="68" spans="1:11" x14ac:dyDescent="0.25">
      <c r="A68">
        <v>10</v>
      </c>
      <c r="B68">
        <v>4</v>
      </c>
      <c r="D68">
        <v>1.9610000000000001</v>
      </c>
      <c r="E68">
        <v>0.74</v>
      </c>
      <c r="F68">
        <v>1.446</v>
      </c>
      <c r="G68">
        <v>0.34499999999999997</v>
      </c>
      <c r="H68" s="3">
        <v>9.67</v>
      </c>
      <c r="I68" s="3">
        <v>6.67</v>
      </c>
      <c r="J68" s="3">
        <v>20.05</v>
      </c>
      <c r="K68" s="3">
        <v>17.87</v>
      </c>
    </row>
    <row r="69" spans="1:11" x14ac:dyDescent="0.25">
      <c r="A69">
        <v>10</v>
      </c>
      <c r="B69">
        <v>6</v>
      </c>
      <c r="D69">
        <v>0.59799999999999998</v>
      </c>
      <c r="E69">
        <v>0.223</v>
      </c>
      <c r="F69">
        <v>0.53900000000000003</v>
      </c>
      <c r="G69">
        <v>3.5000000000000003E-2</v>
      </c>
      <c r="H69" s="3">
        <v>6.18</v>
      </c>
      <c r="I69" s="3">
        <v>3.26</v>
      </c>
      <c r="J69" s="3">
        <v>15.22</v>
      </c>
      <c r="K69" s="3">
        <v>10.54</v>
      </c>
    </row>
    <row r="70" spans="1:11" x14ac:dyDescent="0.25">
      <c r="A70">
        <v>10</v>
      </c>
      <c r="B70">
        <v>8</v>
      </c>
      <c r="D70">
        <v>0.16300000000000001</v>
      </c>
      <c r="E70">
        <v>7.0000000000000007E-2</v>
      </c>
      <c r="F70">
        <v>0.221</v>
      </c>
      <c r="G70" t="s">
        <v>12</v>
      </c>
      <c r="H70" s="3">
        <v>3.26</v>
      </c>
      <c r="I70" s="3">
        <v>1.92</v>
      </c>
      <c r="J70" s="3">
        <v>12.12</v>
      </c>
      <c r="K70" s="3">
        <v>6.8</v>
      </c>
    </row>
    <row r="71" spans="1:11" x14ac:dyDescent="0.25">
      <c r="A71">
        <v>10</v>
      </c>
      <c r="B71">
        <v>10</v>
      </c>
      <c r="D71">
        <v>0.06</v>
      </c>
      <c r="E71">
        <v>2.8000000000000001E-2</v>
      </c>
      <c r="F71">
        <v>9.9000000000000005E-2</v>
      </c>
      <c r="G71" t="s">
        <v>12</v>
      </c>
      <c r="H71" s="3">
        <v>2.84</v>
      </c>
      <c r="I71" s="3">
        <v>3.15</v>
      </c>
      <c r="J71" s="3">
        <v>7.94</v>
      </c>
      <c r="K71" s="3">
        <v>7.14</v>
      </c>
    </row>
    <row r="72" spans="1:11" x14ac:dyDescent="0.25">
      <c r="A72">
        <v>10</v>
      </c>
      <c r="B72">
        <v>12</v>
      </c>
      <c r="D72">
        <v>3.5999999999999997E-2</v>
      </c>
      <c r="E72">
        <v>3.0000000000000001E-3</v>
      </c>
      <c r="F72">
        <v>3.9E-2</v>
      </c>
      <c r="G72" t="s">
        <v>12</v>
      </c>
      <c r="H72" s="3">
        <v>2.2000000000000002</v>
      </c>
      <c r="I72" s="3">
        <v>2.96</v>
      </c>
      <c r="J72" s="3">
        <v>6.52</v>
      </c>
      <c r="K72" s="3">
        <v>7.19</v>
      </c>
    </row>
    <row r="73" spans="1:11" x14ac:dyDescent="0.25">
      <c r="A73">
        <v>10</v>
      </c>
      <c r="B73">
        <v>24</v>
      </c>
      <c r="E73" t="s">
        <v>12</v>
      </c>
      <c r="G73" t="s">
        <v>11</v>
      </c>
      <c r="H73" s="3">
        <v>3.3</v>
      </c>
      <c r="I73" s="1">
        <v>2</v>
      </c>
      <c r="J73" s="3">
        <v>6.06</v>
      </c>
      <c r="K73" s="3">
        <v>2.54</v>
      </c>
    </row>
    <row r="74" spans="1:11" x14ac:dyDescent="0.25">
      <c r="A74">
        <v>12</v>
      </c>
      <c r="B74">
        <v>0</v>
      </c>
      <c r="C74">
        <f>2.5/314.35*10^6</f>
        <v>7952.9187211706694</v>
      </c>
      <c r="D74" t="s">
        <v>11</v>
      </c>
      <c r="E74" t="s">
        <v>11</v>
      </c>
      <c r="F74" t="s">
        <v>11</v>
      </c>
      <c r="G74" t="s">
        <v>11</v>
      </c>
      <c r="H74" s="1">
        <v>0.50800000000000001</v>
      </c>
    </row>
    <row r="75" spans="1:11" x14ac:dyDescent="0.25">
      <c r="A75">
        <v>12</v>
      </c>
      <c r="B75">
        <v>0.5</v>
      </c>
      <c r="D75">
        <v>0.55100000000000005</v>
      </c>
      <c r="E75">
        <v>2.1999999999999999E-2</v>
      </c>
      <c r="F75">
        <v>0.223</v>
      </c>
      <c r="G75" t="s">
        <v>11</v>
      </c>
      <c r="H75" s="1">
        <v>0.50800000000000001</v>
      </c>
      <c r="J75" s="4">
        <v>14.920999999999999</v>
      </c>
      <c r="K75" s="4">
        <v>7.194</v>
      </c>
    </row>
    <row r="76" spans="1:11" x14ac:dyDescent="0.25">
      <c r="A76">
        <v>12</v>
      </c>
      <c r="B76">
        <v>1</v>
      </c>
      <c r="D76">
        <v>0.85699999999999998</v>
      </c>
      <c r="E76">
        <v>1.83</v>
      </c>
      <c r="F76">
        <v>0.79700000000000004</v>
      </c>
      <c r="G76">
        <v>1.351</v>
      </c>
      <c r="H76">
        <v>14.192</v>
      </c>
      <c r="I76">
        <v>12.173</v>
      </c>
      <c r="J76" s="6">
        <v>37.545999999999999</v>
      </c>
      <c r="K76" s="5">
        <v>31.445</v>
      </c>
    </row>
    <row r="77" spans="1:11" x14ac:dyDescent="0.25">
      <c r="A77">
        <v>12</v>
      </c>
      <c r="B77">
        <v>1.5</v>
      </c>
      <c r="D77">
        <v>0.35299999999999998</v>
      </c>
      <c r="E77">
        <v>0.39100000000000001</v>
      </c>
      <c r="F77">
        <v>0.54800000000000004</v>
      </c>
      <c r="G77">
        <v>0.58399999999999996</v>
      </c>
      <c r="H77">
        <v>15.185</v>
      </c>
      <c r="I77">
        <v>14.555</v>
      </c>
      <c r="J77" s="6">
        <v>44.374000000000002</v>
      </c>
      <c r="K77" s="6">
        <v>46.164000000000001</v>
      </c>
    </row>
    <row r="78" spans="1:11" x14ac:dyDescent="0.25">
      <c r="A78">
        <v>12</v>
      </c>
      <c r="B78">
        <v>2</v>
      </c>
      <c r="D78">
        <v>0.17100000000000001</v>
      </c>
      <c r="E78">
        <v>0.183</v>
      </c>
      <c r="F78">
        <v>0.38500000000000001</v>
      </c>
      <c r="G78">
        <v>0.35299999999999998</v>
      </c>
      <c r="H78">
        <v>10.097</v>
      </c>
      <c r="I78">
        <v>10.917</v>
      </c>
      <c r="J78" s="6">
        <v>44.118000000000002</v>
      </c>
      <c r="K78" s="6">
        <v>45.137</v>
      </c>
    </row>
    <row r="79" spans="1:11" x14ac:dyDescent="0.25">
      <c r="A79">
        <v>12</v>
      </c>
      <c r="B79">
        <v>3</v>
      </c>
      <c r="D79">
        <v>0.10299999999999999</v>
      </c>
      <c r="E79">
        <v>9.4E-2</v>
      </c>
      <c r="F79">
        <v>0.27700000000000002</v>
      </c>
      <c r="G79">
        <v>0.23300000000000001</v>
      </c>
      <c r="H79">
        <v>6.9029999999999996</v>
      </c>
      <c r="I79">
        <v>7.0309999999999997</v>
      </c>
      <c r="J79" s="6">
        <v>37.719000000000001</v>
      </c>
      <c r="K79" s="6">
        <v>41.853999999999999</v>
      </c>
    </row>
    <row r="80" spans="1:11" x14ac:dyDescent="0.25">
      <c r="A80">
        <v>12</v>
      </c>
      <c r="B80">
        <v>4</v>
      </c>
      <c r="D80">
        <v>4.7E-2</v>
      </c>
      <c r="E80">
        <v>4.5999999999999999E-2</v>
      </c>
      <c r="F80">
        <v>0.185</v>
      </c>
      <c r="G80">
        <v>0.18099999999999999</v>
      </c>
      <c r="H80">
        <v>4.976</v>
      </c>
      <c r="I80">
        <v>5.44</v>
      </c>
      <c r="J80" s="4">
        <v>26.619</v>
      </c>
      <c r="K80" s="4">
        <v>28.062000000000001</v>
      </c>
    </row>
    <row r="81" spans="1:11" x14ac:dyDescent="0.25">
      <c r="A81">
        <v>12</v>
      </c>
      <c r="B81">
        <v>6</v>
      </c>
      <c r="D81">
        <v>2.8000000000000001E-2</v>
      </c>
      <c r="E81">
        <v>2.3E-2</v>
      </c>
      <c r="F81">
        <v>0.14099999999999999</v>
      </c>
      <c r="G81">
        <v>0.13</v>
      </c>
      <c r="H81">
        <v>2.8069999999999999</v>
      </c>
      <c r="I81">
        <v>3.4769999999999999</v>
      </c>
      <c r="J81" s="4">
        <v>23.149000000000001</v>
      </c>
      <c r="K81" s="4">
        <v>20.981000000000002</v>
      </c>
    </row>
    <row r="82" spans="1:11" x14ac:dyDescent="0.25">
      <c r="A82">
        <v>12</v>
      </c>
      <c r="B82">
        <v>8</v>
      </c>
      <c r="D82">
        <v>2.5999999999999999E-2</v>
      </c>
      <c r="E82">
        <v>3.1E-2</v>
      </c>
      <c r="F82">
        <v>0.113</v>
      </c>
      <c r="G82">
        <v>0.112</v>
      </c>
      <c r="H82">
        <v>2.6760000000000002</v>
      </c>
      <c r="I82">
        <v>2.1659999999999999</v>
      </c>
      <c r="J82" s="4">
        <v>17.968</v>
      </c>
      <c r="K82" s="4">
        <v>20.404</v>
      </c>
    </row>
    <row r="83" spans="1:11" x14ac:dyDescent="0.25">
      <c r="A83">
        <v>12</v>
      </c>
      <c r="B83">
        <v>10</v>
      </c>
      <c r="D83">
        <v>2.8000000000000001E-2</v>
      </c>
      <c r="E83">
        <v>4.5999999999999999E-2</v>
      </c>
      <c r="F83">
        <v>0.107</v>
      </c>
      <c r="G83">
        <v>0.11799999999999999</v>
      </c>
      <c r="H83">
        <v>2.4</v>
      </c>
      <c r="I83">
        <v>1.744</v>
      </c>
      <c r="J83" s="4">
        <v>19.492000000000001</v>
      </c>
      <c r="K83" s="4">
        <v>18.062000000000001</v>
      </c>
    </row>
    <row r="84" spans="1:11" x14ac:dyDescent="0.25">
      <c r="A84">
        <v>12</v>
      </c>
      <c r="B84">
        <v>12</v>
      </c>
      <c r="D84">
        <v>2.8000000000000001E-2</v>
      </c>
      <c r="E84">
        <v>1.7000000000000001E-2</v>
      </c>
      <c r="F84">
        <v>0.10100000000000001</v>
      </c>
      <c r="G84">
        <v>0.11</v>
      </c>
      <c r="H84">
        <v>2.4900000000000002</v>
      </c>
      <c r="I84">
        <v>1.4870000000000001</v>
      </c>
      <c r="J84" s="4">
        <v>8.718</v>
      </c>
      <c r="K84" s="4">
        <v>12.862</v>
      </c>
    </row>
    <row r="85" spans="1:11" x14ac:dyDescent="0.25">
      <c r="A85">
        <v>12</v>
      </c>
      <c r="B85">
        <v>24</v>
      </c>
      <c r="D85">
        <v>1.4E-2</v>
      </c>
      <c r="E85">
        <v>1.0999999999999999E-2</v>
      </c>
      <c r="F85">
        <v>0.09</v>
      </c>
      <c r="G85">
        <v>9.1999999999999998E-2</v>
      </c>
      <c r="H85">
        <v>1.1919999999999999</v>
      </c>
      <c r="I85">
        <v>1.52</v>
      </c>
    </row>
    <row r="86" spans="1:11" x14ac:dyDescent="0.25">
      <c r="A86">
        <v>13</v>
      </c>
      <c r="B86">
        <v>0</v>
      </c>
      <c r="C86">
        <f>2.5/314.35*10^6</f>
        <v>7952.9187211706694</v>
      </c>
      <c r="D86" t="s">
        <v>11</v>
      </c>
      <c r="E86" t="s">
        <v>11</v>
      </c>
      <c r="F86" t="s">
        <v>11</v>
      </c>
      <c r="G86" t="s">
        <v>11</v>
      </c>
      <c r="I86" s="1">
        <v>2.3E-2</v>
      </c>
      <c r="K86" s="1">
        <v>1.3420000000000001</v>
      </c>
    </row>
    <row r="87" spans="1:11" x14ac:dyDescent="0.25">
      <c r="A87">
        <v>13</v>
      </c>
      <c r="B87">
        <v>0.5</v>
      </c>
      <c r="D87">
        <v>1.899</v>
      </c>
      <c r="E87" t="s">
        <v>12</v>
      </c>
      <c r="F87">
        <v>2.0369999999999999</v>
      </c>
      <c r="G87" t="s">
        <v>11</v>
      </c>
      <c r="H87">
        <v>5.0439999999999996</v>
      </c>
      <c r="I87" s="1">
        <v>2.5000000000000001E-2</v>
      </c>
      <c r="J87" s="1">
        <v>1.347</v>
      </c>
      <c r="K87" s="1">
        <v>1.304</v>
      </c>
    </row>
    <row r="88" spans="1:11" x14ac:dyDescent="0.25">
      <c r="A88">
        <v>13</v>
      </c>
      <c r="B88">
        <v>1</v>
      </c>
      <c r="D88">
        <v>1.5589999999999999</v>
      </c>
      <c r="E88">
        <v>4.5999999999999999E-2</v>
      </c>
      <c r="F88">
        <v>3.59</v>
      </c>
      <c r="G88">
        <v>0.09</v>
      </c>
      <c r="H88">
        <v>50.546999999999997</v>
      </c>
      <c r="I88" s="1">
        <v>0.15</v>
      </c>
      <c r="J88">
        <v>17.734999999999999</v>
      </c>
      <c r="K88" s="1">
        <v>1.2889999999999999</v>
      </c>
    </row>
    <row r="89" spans="1:11" x14ac:dyDescent="0.25">
      <c r="A89">
        <v>13</v>
      </c>
      <c r="B89">
        <v>1.5</v>
      </c>
      <c r="D89">
        <v>0.56599999999999995</v>
      </c>
      <c r="E89">
        <v>2.1859999999999999</v>
      </c>
      <c r="F89">
        <v>3.2050000000000001</v>
      </c>
      <c r="G89">
        <v>2.4609999999999999</v>
      </c>
      <c r="H89">
        <v>29.05</v>
      </c>
      <c r="I89">
        <v>5.891</v>
      </c>
      <c r="J89">
        <v>32.15</v>
      </c>
      <c r="K89" s="1">
        <v>2.4969999999999999</v>
      </c>
    </row>
    <row r="90" spans="1:11" x14ac:dyDescent="0.25">
      <c r="A90">
        <v>13</v>
      </c>
      <c r="B90">
        <v>2</v>
      </c>
      <c r="D90">
        <v>0.40200000000000002</v>
      </c>
      <c r="E90">
        <v>0.68300000000000005</v>
      </c>
      <c r="F90">
        <v>2.177</v>
      </c>
      <c r="G90">
        <v>2.9060000000000001</v>
      </c>
      <c r="H90">
        <v>21.977</v>
      </c>
      <c r="I90">
        <v>21.58</v>
      </c>
      <c r="J90">
        <v>41.212000000000003</v>
      </c>
      <c r="K90">
        <v>14.321</v>
      </c>
    </row>
    <row r="91" spans="1:11" x14ac:dyDescent="0.25">
      <c r="A91">
        <v>13</v>
      </c>
      <c r="B91">
        <v>3</v>
      </c>
      <c r="D91">
        <v>0.27800000000000002</v>
      </c>
      <c r="E91">
        <v>0.21199999999999999</v>
      </c>
      <c r="F91">
        <v>0.92400000000000004</v>
      </c>
      <c r="G91">
        <v>1.079</v>
      </c>
      <c r="H91">
        <v>12.885</v>
      </c>
      <c r="I91">
        <v>12.382999999999999</v>
      </c>
      <c r="J91">
        <v>38.64</v>
      </c>
      <c r="K91">
        <v>30.01</v>
      </c>
    </row>
    <row r="92" spans="1:11" x14ac:dyDescent="0.25">
      <c r="A92">
        <v>13</v>
      </c>
      <c r="B92">
        <v>4</v>
      </c>
      <c r="D92">
        <v>0.12</v>
      </c>
      <c r="E92">
        <v>0.106</v>
      </c>
      <c r="F92">
        <v>0.54500000000000004</v>
      </c>
      <c r="G92">
        <v>0.73799999999999999</v>
      </c>
      <c r="H92">
        <v>11.109</v>
      </c>
      <c r="I92">
        <v>9.4930000000000003</v>
      </c>
      <c r="J92">
        <v>39.588000000000001</v>
      </c>
      <c r="K92">
        <v>29.933</v>
      </c>
    </row>
    <row r="93" spans="1:11" x14ac:dyDescent="0.25">
      <c r="A93">
        <v>13</v>
      </c>
      <c r="B93">
        <v>6</v>
      </c>
      <c r="D93">
        <v>0.108</v>
      </c>
      <c r="E93">
        <v>3.5999999999999997E-2</v>
      </c>
      <c r="F93">
        <v>0.496</v>
      </c>
      <c r="G93">
        <v>0.377</v>
      </c>
      <c r="H93">
        <v>8.0860000000000003</v>
      </c>
      <c r="I93">
        <v>5.2089999999999996</v>
      </c>
      <c r="J93">
        <v>30.084</v>
      </c>
      <c r="K93">
        <v>28.928999999999998</v>
      </c>
    </row>
    <row r="94" spans="1:11" x14ac:dyDescent="0.25">
      <c r="A94">
        <v>13</v>
      </c>
      <c r="B94">
        <v>8</v>
      </c>
      <c r="D94">
        <v>3.1E-2</v>
      </c>
      <c r="E94">
        <v>2.1000000000000001E-2</v>
      </c>
      <c r="F94">
        <v>0.25800000000000001</v>
      </c>
      <c r="G94">
        <v>0.27800000000000002</v>
      </c>
      <c r="H94">
        <v>7.4880000000000004</v>
      </c>
      <c r="I94">
        <v>3.5</v>
      </c>
      <c r="J94">
        <v>24.847000000000001</v>
      </c>
      <c r="K94">
        <v>23.945</v>
      </c>
    </row>
    <row r="95" spans="1:11" x14ac:dyDescent="0.25">
      <c r="A95">
        <v>13</v>
      </c>
      <c r="B95">
        <v>10</v>
      </c>
      <c r="D95">
        <v>1.0999999999999999E-2</v>
      </c>
      <c r="E95" s="1">
        <v>2E-3</v>
      </c>
      <c r="F95">
        <v>0.21299999999999999</v>
      </c>
      <c r="G95">
        <v>0.221</v>
      </c>
      <c r="H95">
        <v>5.5679999999999996</v>
      </c>
      <c r="I95">
        <v>2.855</v>
      </c>
      <c r="J95">
        <v>18.617000000000001</v>
      </c>
      <c r="K95">
        <v>17.189</v>
      </c>
    </row>
    <row r="96" spans="1:11" x14ac:dyDescent="0.25">
      <c r="A96">
        <v>13</v>
      </c>
      <c r="B96">
        <v>12</v>
      </c>
      <c r="D96">
        <v>1.2999999999999999E-2</v>
      </c>
      <c r="E96" s="1" t="s">
        <v>12</v>
      </c>
      <c r="F96">
        <v>0.19500000000000001</v>
      </c>
      <c r="G96">
        <v>0.17199999999999999</v>
      </c>
      <c r="H96">
        <v>5.9420000000000002</v>
      </c>
      <c r="I96">
        <v>2.3170000000000002</v>
      </c>
      <c r="J96">
        <v>20.091999999999999</v>
      </c>
      <c r="K96">
        <v>15.242000000000001</v>
      </c>
    </row>
    <row r="97" spans="1:11" x14ac:dyDescent="0.25">
      <c r="A97">
        <v>13</v>
      </c>
      <c r="B97">
        <v>24</v>
      </c>
      <c r="D97" s="2">
        <v>8.9999999999999993E-3</v>
      </c>
      <c r="E97" s="1">
        <v>5.0000000000000001E-3</v>
      </c>
      <c r="F97">
        <v>0.123</v>
      </c>
      <c r="G97">
        <v>0.129</v>
      </c>
      <c r="H97">
        <v>4.0540000000000003</v>
      </c>
      <c r="I97">
        <v>2.7949999999999999</v>
      </c>
      <c r="J97">
        <v>11.677</v>
      </c>
      <c r="K97">
        <v>9.8629999999999995</v>
      </c>
    </row>
    <row r="98" spans="1:11" x14ac:dyDescent="0.25">
      <c r="A98">
        <v>15</v>
      </c>
      <c r="B98">
        <v>0</v>
      </c>
      <c r="C98">
        <f>2.5/314.35*10^6</f>
        <v>7952.9187211706694</v>
      </c>
      <c r="D98" t="s">
        <v>11</v>
      </c>
      <c r="E98">
        <v>8.0000000000000002E-3</v>
      </c>
      <c r="F98" t="s">
        <v>11</v>
      </c>
      <c r="G98">
        <v>0.13200000000000001</v>
      </c>
      <c r="K98" s="1">
        <v>0.21199999999999999</v>
      </c>
    </row>
    <row r="99" spans="1:11" x14ac:dyDescent="0.25">
      <c r="A99">
        <v>15</v>
      </c>
      <c r="B99">
        <v>0.5</v>
      </c>
      <c r="D99" t="s">
        <v>11</v>
      </c>
      <c r="E99">
        <v>0.111</v>
      </c>
      <c r="F99" t="s">
        <v>11</v>
      </c>
      <c r="G99">
        <v>8.1000000000000003E-2</v>
      </c>
      <c r="K99" s="1">
        <v>0.13900000000000001</v>
      </c>
    </row>
    <row r="100" spans="1:11" x14ac:dyDescent="0.25">
      <c r="A100">
        <v>15</v>
      </c>
      <c r="B100">
        <v>1</v>
      </c>
      <c r="D100">
        <v>0.61699999999999999</v>
      </c>
      <c r="E100">
        <v>4.0389999999999997</v>
      </c>
      <c r="F100">
        <v>0.60899999999999999</v>
      </c>
      <c r="G100">
        <v>2.2719999999999998</v>
      </c>
      <c r="H100" s="1">
        <v>0.153</v>
      </c>
      <c r="I100">
        <v>3.4350000000000001</v>
      </c>
      <c r="J100" s="1">
        <v>0.14000000000000001</v>
      </c>
      <c r="K100" s="1">
        <v>1.01</v>
      </c>
    </row>
    <row r="101" spans="1:11" x14ac:dyDescent="0.25">
      <c r="A101">
        <v>15</v>
      </c>
      <c r="B101">
        <v>1.5</v>
      </c>
      <c r="D101">
        <v>1.177</v>
      </c>
      <c r="E101">
        <v>4.8239999999999998</v>
      </c>
      <c r="F101">
        <v>2.1480000000000001</v>
      </c>
      <c r="G101">
        <v>4.6180000000000003</v>
      </c>
      <c r="H101">
        <v>9.1780000000000008</v>
      </c>
      <c r="I101">
        <v>12.996</v>
      </c>
      <c r="J101">
        <v>3.262</v>
      </c>
      <c r="K101">
        <v>10.749000000000001</v>
      </c>
    </row>
    <row r="102" spans="1:11" x14ac:dyDescent="0.25">
      <c r="A102">
        <v>15</v>
      </c>
      <c r="B102">
        <v>2</v>
      </c>
      <c r="D102">
        <v>1.107</v>
      </c>
      <c r="E102">
        <v>1.4690000000000001</v>
      </c>
      <c r="F102">
        <v>1.9370000000000001</v>
      </c>
      <c r="G102">
        <v>3.06</v>
      </c>
      <c r="H102">
        <v>9.8989999999999991</v>
      </c>
      <c r="I102">
        <v>19.794</v>
      </c>
      <c r="J102">
        <v>8.99</v>
      </c>
      <c r="K102">
        <v>14.898999999999999</v>
      </c>
    </row>
    <row r="103" spans="1:11" x14ac:dyDescent="0.25">
      <c r="A103">
        <v>15</v>
      </c>
      <c r="B103">
        <v>3</v>
      </c>
      <c r="D103">
        <v>0.69099999999999995</v>
      </c>
      <c r="E103">
        <v>0.47499999999999998</v>
      </c>
      <c r="F103">
        <v>2.1379999999999999</v>
      </c>
      <c r="G103">
        <v>1.147</v>
      </c>
      <c r="H103">
        <v>17.256</v>
      </c>
      <c r="I103">
        <v>13.433</v>
      </c>
      <c r="J103">
        <v>17.832000000000001</v>
      </c>
      <c r="K103">
        <v>17.724</v>
      </c>
    </row>
    <row r="104" spans="1:11" x14ac:dyDescent="0.25">
      <c r="A104">
        <v>15</v>
      </c>
      <c r="B104">
        <v>4</v>
      </c>
      <c r="D104">
        <v>0.26800000000000002</v>
      </c>
      <c r="E104">
        <v>0.18</v>
      </c>
      <c r="F104">
        <v>1.222</v>
      </c>
      <c r="G104">
        <v>0.67100000000000004</v>
      </c>
      <c r="H104">
        <v>13.595000000000001</v>
      </c>
      <c r="I104">
        <v>8.3279999999999994</v>
      </c>
      <c r="J104">
        <v>21.492000000000001</v>
      </c>
      <c r="K104">
        <v>15.698</v>
      </c>
    </row>
    <row r="105" spans="1:11" x14ac:dyDescent="0.25">
      <c r="A105">
        <v>15</v>
      </c>
      <c r="B105">
        <v>6</v>
      </c>
      <c r="D105">
        <v>7.9000000000000001E-2</v>
      </c>
      <c r="E105">
        <v>8.8999999999999996E-2</v>
      </c>
      <c r="F105">
        <v>0.61099999999999999</v>
      </c>
      <c r="G105">
        <v>0.39100000000000001</v>
      </c>
      <c r="H105">
        <v>9.4329999999999998</v>
      </c>
      <c r="I105">
        <v>5.1989999999999998</v>
      </c>
      <c r="J105">
        <v>22.216000000000001</v>
      </c>
      <c r="K105">
        <v>17.036000000000001</v>
      </c>
    </row>
    <row r="106" spans="1:11" x14ac:dyDescent="0.25">
      <c r="A106">
        <v>15</v>
      </c>
      <c r="B106">
        <v>8</v>
      </c>
      <c r="D106">
        <v>3.4000000000000002E-2</v>
      </c>
      <c r="E106">
        <v>0.03</v>
      </c>
      <c r="F106">
        <v>0.52600000000000002</v>
      </c>
      <c r="G106">
        <v>0.39100000000000001</v>
      </c>
      <c r="H106">
        <v>7.21</v>
      </c>
      <c r="I106">
        <v>4.5039999999999996</v>
      </c>
      <c r="J106">
        <v>20.106000000000002</v>
      </c>
      <c r="K106">
        <v>10.53</v>
      </c>
    </row>
    <row r="107" spans="1:11" x14ac:dyDescent="0.25">
      <c r="A107">
        <v>15</v>
      </c>
      <c r="B107">
        <v>10</v>
      </c>
      <c r="D107">
        <v>1.7999999999999999E-2</v>
      </c>
      <c r="E107">
        <v>2.4E-2</v>
      </c>
      <c r="F107">
        <v>0.30499999999999999</v>
      </c>
      <c r="G107">
        <v>0.245</v>
      </c>
      <c r="H107">
        <v>7.1109999999999998</v>
      </c>
      <c r="I107">
        <v>3.7080000000000002</v>
      </c>
      <c r="J107">
        <v>14.879</v>
      </c>
      <c r="K107">
        <v>10.731999999999999</v>
      </c>
    </row>
    <row r="108" spans="1:11" x14ac:dyDescent="0.25">
      <c r="A108">
        <v>15</v>
      </c>
      <c r="B108">
        <v>12</v>
      </c>
      <c r="D108">
        <v>1.0999999999999999E-2</v>
      </c>
      <c r="E108">
        <v>1.4999999999999999E-2</v>
      </c>
      <c r="F108">
        <v>0.30099999999999999</v>
      </c>
      <c r="G108">
        <v>0.23799999999999999</v>
      </c>
      <c r="H108">
        <v>6.391</v>
      </c>
      <c r="I108">
        <v>2.8</v>
      </c>
      <c r="J108">
        <v>11.504</v>
      </c>
      <c r="K108">
        <v>7.298</v>
      </c>
    </row>
    <row r="109" spans="1:11" x14ac:dyDescent="0.25">
      <c r="A109">
        <v>15</v>
      </c>
      <c r="B109">
        <v>24</v>
      </c>
      <c r="D109">
        <v>0.01</v>
      </c>
      <c r="E109">
        <v>1.4E-2</v>
      </c>
      <c r="F109">
        <v>0.08</v>
      </c>
      <c r="G109">
        <v>7.0999999999999994E-2</v>
      </c>
      <c r="H109">
        <v>3.0390000000000001</v>
      </c>
      <c r="I109">
        <v>2.2829999999999999</v>
      </c>
      <c r="J109">
        <v>6.3540000000000001</v>
      </c>
      <c r="K109">
        <v>4.7990000000000004</v>
      </c>
    </row>
    <row r="110" spans="1:11" x14ac:dyDescent="0.25">
      <c r="A110">
        <v>17</v>
      </c>
      <c r="B110">
        <v>0</v>
      </c>
      <c r="C110">
        <f>2.5/314.35*10^6</f>
        <v>7952.9187211706694</v>
      </c>
      <c r="D110" t="s">
        <v>11</v>
      </c>
      <c r="E110" t="s">
        <v>11</v>
      </c>
      <c r="F110" t="s">
        <v>11</v>
      </c>
      <c r="G110" t="s">
        <v>11</v>
      </c>
    </row>
    <row r="111" spans="1:11" x14ac:dyDescent="0.25">
      <c r="A111">
        <v>17</v>
      </c>
      <c r="B111">
        <v>0.5</v>
      </c>
      <c r="D111">
        <v>8.0000000000000002E-3</v>
      </c>
      <c r="E111">
        <v>0.38</v>
      </c>
      <c r="F111">
        <v>5.5E-2</v>
      </c>
      <c r="G111" t="s">
        <v>11</v>
      </c>
      <c r="K111" s="1">
        <v>0.51900000000000002</v>
      </c>
    </row>
    <row r="112" spans="1:11" x14ac:dyDescent="0.25">
      <c r="A112">
        <v>17</v>
      </c>
      <c r="B112">
        <v>1</v>
      </c>
      <c r="D112">
        <v>2.1000000000000001E-2</v>
      </c>
      <c r="E112">
        <v>5.2549999999999999</v>
      </c>
      <c r="F112">
        <v>4.7E-2</v>
      </c>
      <c r="G112">
        <v>0.68300000000000005</v>
      </c>
      <c r="K112">
        <v>3.5459999999999998</v>
      </c>
    </row>
    <row r="113" spans="1:11" x14ac:dyDescent="0.25">
      <c r="A113">
        <v>17</v>
      </c>
      <c r="B113">
        <v>1.5</v>
      </c>
      <c r="D113">
        <v>3.5000000000000003E-2</v>
      </c>
      <c r="E113">
        <v>2.258</v>
      </c>
      <c r="F113" t="s">
        <v>11</v>
      </c>
      <c r="G113">
        <v>0.84299999999999997</v>
      </c>
      <c r="K113">
        <v>10.763</v>
      </c>
    </row>
    <row r="114" spans="1:11" x14ac:dyDescent="0.25">
      <c r="A114">
        <v>17</v>
      </c>
      <c r="B114">
        <v>2</v>
      </c>
      <c r="D114">
        <v>9.4E-2</v>
      </c>
      <c r="E114">
        <v>1.6990000000000001</v>
      </c>
      <c r="F114">
        <v>7.9000000000000001E-2</v>
      </c>
      <c r="G114">
        <v>0.78100000000000003</v>
      </c>
      <c r="J114" s="1">
        <v>0.54200000000000004</v>
      </c>
      <c r="K114">
        <v>12.047000000000001</v>
      </c>
    </row>
    <row r="115" spans="1:11" x14ac:dyDescent="0.25">
      <c r="A115">
        <v>17</v>
      </c>
      <c r="B115">
        <v>3</v>
      </c>
      <c r="D115">
        <v>4.9249999999999998</v>
      </c>
      <c r="E115">
        <v>1.8029999999999999</v>
      </c>
      <c r="F115">
        <v>1.323</v>
      </c>
      <c r="G115">
        <v>0.56999999999999995</v>
      </c>
      <c r="H115">
        <v>2.8170000000000002</v>
      </c>
      <c r="I115">
        <v>1.0089999999999999</v>
      </c>
      <c r="J115">
        <v>5.8319999999999999</v>
      </c>
      <c r="K115">
        <v>11.673999999999999</v>
      </c>
    </row>
    <row r="116" spans="1:11" x14ac:dyDescent="0.25">
      <c r="A116">
        <v>17</v>
      </c>
      <c r="B116">
        <v>4</v>
      </c>
      <c r="D116">
        <v>3.6880000000000002</v>
      </c>
      <c r="E116">
        <v>0.64900000000000002</v>
      </c>
      <c r="F116">
        <v>1.206</v>
      </c>
      <c r="G116">
        <v>0.36899999999999999</v>
      </c>
      <c r="H116">
        <v>3.9710000000000001</v>
      </c>
      <c r="J116">
        <v>8.4890000000000008</v>
      </c>
      <c r="K116">
        <v>11.725</v>
      </c>
    </row>
    <row r="117" spans="1:11" x14ac:dyDescent="0.25">
      <c r="A117">
        <v>17</v>
      </c>
      <c r="B117">
        <v>6</v>
      </c>
      <c r="D117">
        <v>0.61299999999999999</v>
      </c>
      <c r="E117">
        <v>0.245</v>
      </c>
      <c r="F117">
        <v>0.58399999999999996</v>
      </c>
      <c r="G117">
        <v>0.23</v>
      </c>
      <c r="H117">
        <v>2.0910000000000002</v>
      </c>
      <c r="J117">
        <v>10.462999999999999</v>
      </c>
      <c r="K117">
        <v>9.7550000000000008</v>
      </c>
    </row>
    <row r="118" spans="1:11" x14ac:dyDescent="0.25">
      <c r="A118">
        <v>17</v>
      </c>
      <c r="B118">
        <v>8</v>
      </c>
      <c r="D118">
        <v>0.217</v>
      </c>
      <c r="E118">
        <v>0.17199999999999999</v>
      </c>
      <c r="F118">
        <v>0.36899999999999999</v>
      </c>
      <c r="G118">
        <v>0.17599999999999999</v>
      </c>
      <c r="H118">
        <v>1.05</v>
      </c>
      <c r="J118">
        <v>7.31</v>
      </c>
      <c r="K118">
        <v>4.3559999999999999</v>
      </c>
    </row>
    <row r="119" spans="1:11" x14ac:dyDescent="0.25">
      <c r="A119">
        <v>17</v>
      </c>
      <c r="B119">
        <v>10</v>
      </c>
      <c r="D119">
        <v>0.126</v>
      </c>
      <c r="E119">
        <v>0.107</v>
      </c>
      <c r="F119">
        <v>0.28599999999999998</v>
      </c>
      <c r="G119">
        <v>0.14000000000000001</v>
      </c>
      <c r="J119">
        <v>5.585</v>
      </c>
      <c r="K119">
        <v>3.9860000000000002</v>
      </c>
    </row>
    <row r="120" spans="1:11" x14ac:dyDescent="0.25">
      <c r="A120">
        <v>17</v>
      </c>
      <c r="B120">
        <v>12</v>
      </c>
      <c r="D120">
        <v>0.10199999999999999</v>
      </c>
      <c r="E120">
        <v>8.6999999999999994E-2</v>
      </c>
      <c r="F120">
        <v>0.25900000000000001</v>
      </c>
      <c r="G120">
        <v>0.129</v>
      </c>
      <c r="J120">
        <v>5.49</v>
      </c>
      <c r="K120">
        <v>3.194</v>
      </c>
    </row>
    <row r="121" spans="1:11" x14ac:dyDescent="0.25">
      <c r="A121">
        <v>17</v>
      </c>
      <c r="B121">
        <v>24</v>
      </c>
      <c r="D121">
        <v>5.2999999999999999E-2</v>
      </c>
      <c r="E121">
        <v>7.3999999999999996E-2</v>
      </c>
      <c r="F121">
        <v>8.7999999999999995E-2</v>
      </c>
      <c r="G121">
        <v>0.12</v>
      </c>
      <c r="J121">
        <v>4.3449999999999998</v>
      </c>
      <c r="K121" s="1">
        <v>1.9950000000000001</v>
      </c>
    </row>
    <row r="122" spans="1:11" x14ac:dyDescent="0.25">
      <c r="A122">
        <v>18</v>
      </c>
      <c r="B122">
        <v>0</v>
      </c>
      <c r="C122">
        <f>2.5/314.35*10^6</f>
        <v>7952.9187211706694</v>
      </c>
      <c r="D122" t="s">
        <v>11</v>
      </c>
      <c r="E122" t="s">
        <v>11</v>
      </c>
      <c r="F122" t="s">
        <v>11</v>
      </c>
      <c r="G122" t="s">
        <v>11</v>
      </c>
    </row>
    <row r="123" spans="1:11" x14ac:dyDescent="0.25">
      <c r="A123">
        <v>18</v>
      </c>
      <c r="B123">
        <v>0.5</v>
      </c>
      <c r="D123">
        <v>0.67100000000000004</v>
      </c>
      <c r="E123">
        <v>1.6830000000000001</v>
      </c>
      <c r="F123">
        <v>0.14799999999999999</v>
      </c>
      <c r="G123">
        <v>0.248</v>
      </c>
      <c r="H123"/>
      <c r="I123" s="1">
        <v>0.75700000000000001</v>
      </c>
      <c r="J123"/>
      <c r="K123" s="1">
        <v>1.7210000000000001</v>
      </c>
    </row>
    <row r="124" spans="1:11" x14ac:dyDescent="0.25">
      <c r="A124">
        <v>18</v>
      </c>
      <c r="B124">
        <v>1</v>
      </c>
      <c r="D124">
        <v>2.44</v>
      </c>
      <c r="E124">
        <v>1.208</v>
      </c>
      <c r="F124">
        <v>1.3620000000000001</v>
      </c>
      <c r="G124">
        <v>1.4910000000000001</v>
      </c>
      <c r="H124">
        <v>8.7430000000000003</v>
      </c>
      <c r="I124">
        <v>16.713000000000001</v>
      </c>
      <c r="J124">
        <v>5.7329999999999997</v>
      </c>
      <c r="K124">
        <v>12.083</v>
      </c>
    </row>
    <row r="125" spans="1:11" x14ac:dyDescent="0.25">
      <c r="A125">
        <v>18</v>
      </c>
      <c r="B125">
        <v>1.5</v>
      </c>
      <c r="D125">
        <v>1.234</v>
      </c>
      <c r="E125">
        <v>0.248</v>
      </c>
      <c r="F125">
        <v>1.327</v>
      </c>
      <c r="G125">
        <v>0.58199999999999996</v>
      </c>
      <c r="H125">
        <v>12.792999999999999</v>
      </c>
      <c r="I125">
        <v>14.741</v>
      </c>
      <c r="J125">
        <v>19.035</v>
      </c>
      <c r="K125">
        <v>31.195</v>
      </c>
    </row>
    <row r="126" spans="1:11" x14ac:dyDescent="0.25">
      <c r="A126">
        <v>18</v>
      </c>
      <c r="B126">
        <v>2</v>
      </c>
      <c r="D126">
        <v>0.73099999999999998</v>
      </c>
      <c r="E126">
        <v>0.187</v>
      </c>
      <c r="F126">
        <v>0.89800000000000002</v>
      </c>
      <c r="G126">
        <v>0.54</v>
      </c>
      <c r="H126">
        <v>11.343</v>
      </c>
      <c r="I126">
        <v>15.208</v>
      </c>
      <c r="J126">
        <v>25.559000000000001</v>
      </c>
      <c r="K126">
        <v>35.347000000000001</v>
      </c>
    </row>
    <row r="127" spans="1:11" x14ac:dyDescent="0.25">
      <c r="A127">
        <v>18</v>
      </c>
      <c r="B127">
        <v>3</v>
      </c>
      <c r="D127">
        <v>0.34699999999999998</v>
      </c>
      <c r="E127">
        <v>0.10100000000000001</v>
      </c>
      <c r="F127">
        <v>0.71699999999999997</v>
      </c>
      <c r="G127">
        <v>0.34100000000000003</v>
      </c>
      <c r="H127">
        <v>6.8339999999999996</v>
      </c>
      <c r="I127">
        <v>8.3569999999999993</v>
      </c>
      <c r="J127">
        <v>30.263999999999999</v>
      </c>
      <c r="K127">
        <v>36.911999999999999</v>
      </c>
    </row>
    <row r="128" spans="1:11" x14ac:dyDescent="0.25">
      <c r="A128">
        <v>18</v>
      </c>
      <c r="B128">
        <v>4</v>
      </c>
      <c r="D128">
        <v>0.15</v>
      </c>
      <c r="E128">
        <v>9.9000000000000005E-2</v>
      </c>
      <c r="F128">
        <v>0.52200000000000002</v>
      </c>
      <c r="G128">
        <v>0.26800000000000002</v>
      </c>
      <c r="H128">
        <v>5.3440000000000003</v>
      </c>
      <c r="I128">
        <v>5.8979999999999997</v>
      </c>
      <c r="J128">
        <v>22.916</v>
      </c>
      <c r="K128">
        <v>30.248000000000001</v>
      </c>
    </row>
    <row r="129" spans="1:11" x14ac:dyDescent="0.25">
      <c r="A129">
        <v>18</v>
      </c>
      <c r="B129">
        <v>6</v>
      </c>
      <c r="D129">
        <v>6.5000000000000002E-2</v>
      </c>
      <c r="E129">
        <v>1.0999999999999999E-2</v>
      </c>
      <c r="F129">
        <v>0.32900000000000001</v>
      </c>
      <c r="G129">
        <v>0.129</v>
      </c>
      <c r="H129">
        <v>3.4830000000000001</v>
      </c>
      <c r="I129">
        <v>3.714</v>
      </c>
      <c r="J129">
        <v>16.518000000000001</v>
      </c>
      <c r="K129">
        <v>17.326000000000001</v>
      </c>
    </row>
    <row r="130" spans="1:11" x14ac:dyDescent="0.25">
      <c r="A130">
        <v>18</v>
      </c>
      <c r="B130">
        <v>8</v>
      </c>
      <c r="D130">
        <v>3.7999999999999999E-2</v>
      </c>
      <c r="E130">
        <v>1.4E-2</v>
      </c>
      <c r="F130">
        <v>0.30599999999999999</v>
      </c>
      <c r="G130">
        <v>0.114</v>
      </c>
      <c r="H130">
        <v>1.387</v>
      </c>
      <c r="I130">
        <v>1.966</v>
      </c>
      <c r="J130">
        <v>8.6649999999999991</v>
      </c>
      <c r="K130">
        <v>11.365</v>
      </c>
    </row>
    <row r="131" spans="1:11" x14ac:dyDescent="0.25">
      <c r="A131">
        <v>18</v>
      </c>
      <c r="B131">
        <v>10</v>
      </c>
      <c r="D131">
        <v>0.14199999999999999</v>
      </c>
      <c r="E131">
        <v>1.2999999999999999E-2</v>
      </c>
      <c r="F131">
        <v>0.35899999999999999</v>
      </c>
      <c r="G131">
        <v>8.6999999999999994E-2</v>
      </c>
      <c r="H131">
        <v>3.3690000000000002</v>
      </c>
      <c r="I131">
        <v>2.1659999999999999</v>
      </c>
      <c r="J131">
        <v>12.148999999999999</v>
      </c>
      <c r="K131">
        <v>10.452999999999999</v>
      </c>
    </row>
    <row r="132" spans="1:11" x14ac:dyDescent="0.25">
      <c r="A132">
        <v>18</v>
      </c>
      <c r="B132">
        <v>12</v>
      </c>
      <c r="D132">
        <v>1.0999999999999999E-2</v>
      </c>
      <c r="E132">
        <v>1.7000000000000001E-2</v>
      </c>
      <c r="F132" t="s">
        <v>11</v>
      </c>
      <c r="G132">
        <v>4.8000000000000001E-2</v>
      </c>
      <c r="H132">
        <v>2.5950000000000002</v>
      </c>
      <c r="I132">
        <v>1.2709999999999999</v>
      </c>
      <c r="J132">
        <v>14.532</v>
      </c>
      <c r="K132">
        <v>5.21</v>
      </c>
    </row>
    <row r="133" spans="1:11" x14ac:dyDescent="0.25">
      <c r="A133">
        <v>18</v>
      </c>
      <c r="B133">
        <v>24</v>
      </c>
      <c r="D133">
        <v>1.2E-2</v>
      </c>
      <c r="E133">
        <v>1.2E-2</v>
      </c>
      <c r="F133">
        <v>3.3000000000000002E-2</v>
      </c>
      <c r="G133" t="s">
        <v>11</v>
      </c>
      <c r="H133">
        <v>3.9409999999999998</v>
      </c>
      <c r="I133">
        <v>1.3759999999999999</v>
      </c>
      <c r="J133">
        <v>9.59</v>
      </c>
      <c r="K133">
        <v>5.5449999999999999</v>
      </c>
    </row>
    <row r="134" spans="1:11" x14ac:dyDescent="0.25">
      <c r="A134">
        <v>19</v>
      </c>
      <c r="B134">
        <v>0</v>
      </c>
      <c r="C134">
        <f>2.5/314.35*10^6</f>
        <v>7952.9187211706694</v>
      </c>
      <c r="H134"/>
      <c r="I134"/>
      <c r="J134"/>
      <c r="K134" s="1">
        <v>0.79600000000000004</v>
      </c>
    </row>
    <row r="135" spans="1:11" x14ac:dyDescent="0.25">
      <c r="A135">
        <v>19</v>
      </c>
      <c r="B135">
        <v>0.5</v>
      </c>
      <c r="D135" t="s">
        <v>12</v>
      </c>
      <c r="E135">
        <v>2.1999999999999999E-2</v>
      </c>
      <c r="H135"/>
      <c r="I135"/>
      <c r="J135"/>
      <c r="K135" s="1">
        <v>0.90800000000000003</v>
      </c>
    </row>
    <row r="136" spans="1:11" x14ac:dyDescent="0.25">
      <c r="A136">
        <v>19</v>
      </c>
      <c r="B136">
        <v>1</v>
      </c>
      <c r="D136">
        <v>2.355</v>
      </c>
      <c r="E136">
        <v>4.9050000000000002</v>
      </c>
      <c r="F136">
        <v>1.6579999999999999</v>
      </c>
      <c r="G136">
        <v>6.8410000000000002</v>
      </c>
      <c r="H136">
        <v>8.2469999999999999</v>
      </c>
      <c r="I136">
        <v>67.194999999999993</v>
      </c>
      <c r="J136" s="1">
        <v>1.4330000000000001</v>
      </c>
      <c r="K136">
        <v>10.797000000000001</v>
      </c>
    </row>
    <row r="137" spans="1:11" x14ac:dyDescent="0.25">
      <c r="A137">
        <v>19</v>
      </c>
      <c r="B137">
        <v>1.5</v>
      </c>
      <c r="D137">
        <v>4.0780000000000003</v>
      </c>
      <c r="E137">
        <v>2.0089999999999999</v>
      </c>
      <c r="F137">
        <v>5.4370000000000003</v>
      </c>
      <c r="G137">
        <v>3.4990000000000001</v>
      </c>
      <c r="H137">
        <v>72.489000000000004</v>
      </c>
      <c r="I137">
        <v>79.427999999999997</v>
      </c>
      <c r="J137">
        <v>18.132000000000001</v>
      </c>
      <c r="K137">
        <v>48.134</v>
      </c>
    </row>
    <row r="138" spans="1:11" x14ac:dyDescent="0.25">
      <c r="A138">
        <v>19</v>
      </c>
      <c r="B138">
        <v>2</v>
      </c>
      <c r="D138">
        <v>2.0339999999999998</v>
      </c>
      <c r="E138">
        <v>1.6060000000000001</v>
      </c>
      <c r="F138">
        <v>4.4210000000000003</v>
      </c>
      <c r="G138">
        <v>2.2639999999999998</v>
      </c>
      <c r="H138">
        <v>102.22</v>
      </c>
      <c r="I138">
        <v>74.016000000000005</v>
      </c>
      <c r="J138">
        <v>62.25</v>
      </c>
      <c r="K138">
        <v>86.144999999999996</v>
      </c>
    </row>
    <row r="139" spans="1:11" x14ac:dyDescent="0.25">
      <c r="A139">
        <v>19</v>
      </c>
      <c r="B139">
        <v>3</v>
      </c>
      <c r="D139">
        <v>0.66200000000000003</v>
      </c>
      <c r="E139">
        <v>0.76400000000000001</v>
      </c>
      <c r="F139">
        <v>1.5109999999999999</v>
      </c>
      <c r="G139">
        <v>1.07</v>
      </c>
      <c r="H139">
        <v>63.822000000000003</v>
      </c>
      <c r="I139">
        <v>50.350999999999999</v>
      </c>
      <c r="J139">
        <v>97.007000000000005</v>
      </c>
      <c r="K139">
        <v>87.95</v>
      </c>
    </row>
    <row r="140" spans="1:11" x14ac:dyDescent="0.25">
      <c r="A140">
        <v>19</v>
      </c>
      <c r="B140">
        <v>4</v>
      </c>
      <c r="D140">
        <v>0.29299999999999998</v>
      </c>
      <c r="E140">
        <v>0.22500000000000001</v>
      </c>
      <c r="F140">
        <v>0.79800000000000004</v>
      </c>
      <c r="G140">
        <v>0.59299999999999997</v>
      </c>
      <c r="H140">
        <v>47.845999999999997</v>
      </c>
      <c r="I140">
        <v>39.69</v>
      </c>
      <c r="J140">
        <v>87.38</v>
      </c>
      <c r="K140">
        <v>86.052000000000007</v>
      </c>
    </row>
    <row r="141" spans="1:11" x14ac:dyDescent="0.25">
      <c r="A141">
        <v>19</v>
      </c>
      <c r="B141">
        <v>6</v>
      </c>
      <c r="D141">
        <v>9.6000000000000002E-2</v>
      </c>
      <c r="E141">
        <v>7.0000000000000007E-2</v>
      </c>
      <c r="F141">
        <v>0.36799999999999999</v>
      </c>
      <c r="G141">
        <v>0.35599999999999998</v>
      </c>
      <c r="H141">
        <v>24.132000000000001</v>
      </c>
      <c r="I141">
        <v>27.974</v>
      </c>
      <c r="J141">
        <v>80.647999999999996</v>
      </c>
      <c r="K141">
        <v>67.805000000000007</v>
      </c>
    </row>
    <row r="142" spans="1:11" x14ac:dyDescent="0.25">
      <c r="A142">
        <v>19</v>
      </c>
      <c r="B142">
        <v>8</v>
      </c>
      <c r="D142">
        <v>4.3999999999999997E-2</v>
      </c>
      <c r="E142">
        <v>4.2999999999999997E-2</v>
      </c>
      <c r="F142">
        <v>0.23599999999999999</v>
      </c>
      <c r="G142">
        <v>0.25800000000000001</v>
      </c>
      <c r="H142">
        <v>22.071000000000002</v>
      </c>
      <c r="I142">
        <v>19.643000000000001</v>
      </c>
      <c r="J142">
        <v>59.155000000000001</v>
      </c>
      <c r="K142">
        <v>54.633000000000003</v>
      </c>
    </row>
    <row r="143" spans="1:11" x14ac:dyDescent="0.25">
      <c r="A143">
        <v>19</v>
      </c>
      <c r="B143">
        <v>10</v>
      </c>
      <c r="D143">
        <v>3.9E-2</v>
      </c>
      <c r="E143">
        <v>3.5999999999999997E-2</v>
      </c>
      <c r="F143">
        <v>0.22600000000000001</v>
      </c>
      <c r="G143">
        <v>0.247</v>
      </c>
      <c r="H143">
        <v>15.128</v>
      </c>
      <c r="I143">
        <v>9.7850000000000001</v>
      </c>
      <c r="J143">
        <v>44.3</v>
      </c>
      <c r="K143">
        <v>41.918999999999997</v>
      </c>
    </row>
    <row r="144" spans="1:11" x14ac:dyDescent="0.25">
      <c r="A144">
        <v>19</v>
      </c>
      <c r="B144">
        <v>12</v>
      </c>
      <c r="D144">
        <v>4.2000000000000003E-2</v>
      </c>
      <c r="E144">
        <v>0.03</v>
      </c>
      <c r="F144">
        <v>0.222</v>
      </c>
      <c r="G144">
        <v>0.161</v>
      </c>
      <c r="H144">
        <v>14.898</v>
      </c>
      <c r="I144">
        <v>8.2240000000000002</v>
      </c>
      <c r="J144">
        <v>37.406999999999996</v>
      </c>
      <c r="K144">
        <v>32.533000000000001</v>
      </c>
    </row>
    <row r="145" spans="1:11" x14ac:dyDescent="0.25">
      <c r="A145">
        <v>19</v>
      </c>
      <c r="B145">
        <v>24</v>
      </c>
      <c r="D145">
        <v>3.5000000000000003E-2</v>
      </c>
      <c r="E145">
        <v>2.7E-2</v>
      </c>
      <c r="F145">
        <v>4.9000000000000002E-2</v>
      </c>
      <c r="G145">
        <v>5.1999999999999998E-2</v>
      </c>
      <c r="H145">
        <v>6.9459999999999997</v>
      </c>
      <c r="I145">
        <v>4.1790000000000003</v>
      </c>
      <c r="J145">
        <v>24.443999999999999</v>
      </c>
      <c r="K145">
        <v>17.315000000000001</v>
      </c>
    </row>
    <row r="146" spans="1:11" x14ac:dyDescent="0.25">
      <c r="A146">
        <v>21</v>
      </c>
      <c r="B146">
        <v>0</v>
      </c>
      <c r="C146">
        <f>2.5/314.35*10^6</f>
        <v>7952.9187211706694</v>
      </c>
      <c r="H146"/>
      <c r="I146"/>
      <c r="J146"/>
      <c r="K146"/>
    </row>
    <row r="147" spans="1:11" x14ac:dyDescent="0.25">
      <c r="A147">
        <v>21</v>
      </c>
      <c r="B147">
        <v>0.5</v>
      </c>
      <c r="D147">
        <v>0.72099999999999997</v>
      </c>
      <c r="E147">
        <v>8.5999999999999993E-2</v>
      </c>
      <c r="F147">
        <v>0.44900000000000001</v>
      </c>
      <c r="G147">
        <v>0.16700000000000001</v>
      </c>
      <c r="H147">
        <v>2.0640000000000001</v>
      </c>
      <c r="I147" s="1">
        <v>0.91</v>
      </c>
      <c r="J147" s="1">
        <v>0.46600000000000003</v>
      </c>
      <c r="K147" s="1">
        <v>2.8559999999999999</v>
      </c>
    </row>
    <row r="148" spans="1:11" x14ac:dyDescent="0.25">
      <c r="A148">
        <v>21</v>
      </c>
      <c r="B148">
        <v>1</v>
      </c>
      <c r="D148">
        <v>3.9180000000000001</v>
      </c>
      <c r="E148">
        <v>2.6349999999999998</v>
      </c>
      <c r="F148">
        <v>4.8840000000000003</v>
      </c>
      <c r="G148">
        <v>2.3260000000000001</v>
      </c>
      <c r="H148">
        <v>71.194000000000003</v>
      </c>
      <c r="I148">
        <v>33.649000000000001</v>
      </c>
      <c r="J148">
        <v>24.195</v>
      </c>
      <c r="K148">
        <v>10.504</v>
      </c>
    </row>
    <row r="149" spans="1:11" x14ac:dyDescent="0.25">
      <c r="A149">
        <v>21</v>
      </c>
      <c r="B149">
        <v>1.5</v>
      </c>
      <c r="D149">
        <v>0.88900000000000001</v>
      </c>
      <c r="E149">
        <v>1.2889999999999999</v>
      </c>
      <c r="F149">
        <v>2.6469999999999998</v>
      </c>
      <c r="G149">
        <v>1.579</v>
      </c>
      <c r="H149">
        <v>81.334000000000003</v>
      </c>
      <c r="I149">
        <v>41.616</v>
      </c>
      <c r="J149">
        <v>72.932000000000002</v>
      </c>
      <c r="K149">
        <v>41.04</v>
      </c>
    </row>
    <row r="150" spans="1:11" x14ac:dyDescent="0.25">
      <c r="A150">
        <v>21</v>
      </c>
      <c r="B150">
        <v>2</v>
      </c>
      <c r="D150">
        <v>0.51800000000000002</v>
      </c>
      <c r="E150">
        <v>0.995</v>
      </c>
      <c r="F150">
        <v>1.974</v>
      </c>
      <c r="G150">
        <v>1.5620000000000001</v>
      </c>
      <c r="H150">
        <v>66.778999999999996</v>
      </c>
      <c r="I150">
        <v>37.457999999999998</v>
      </c>
      <c r="J150">
        <v>107.619</v>
      </c>
      <c r="K150">
        <v>51.555</v>
      </c>
    </row>
    <row r="151" spans="1:11" x14ac:dyDescent="0.25">
      <c r="A151">
        <v>21</v>
      </c>
      <c r="B151">
        <v>3</v>
      </c>
      <c r="D151">
        <v>0.35499999999999998</v>
      </c>
      <c r="E151">
        <v>1.079</v>
      </c>
      <c r="F151">
        <v>1.0589999999999999</v>
      </c>
      <c r="G151">
        <v>1.345</v>
      </c>
      <c r="H151">
        <v>36.143000000000001</v>
      </c>
      <c r="I151">
        <v>29.747</v>
      </c>
      <c r="J151">
        <v>102.42</v>
      </c>
      <c r="K151">
        <v>82.712000000000003</v>
      </c>
    </row>
    <row r="152" spans="1:11" x14ac:dyDescent="0.25">
      <c r="A152">
        <v>21</v>
      </c>
      <c r="B152">
        <v>4</v>
      </c>
      <c r="D152">
        <v>0.14299999999999999</v>
      </c>
      <c r="E152">
        <v>0.46600000000000003</v>
      </c>
      <c r="F152">
        <v>0.58299999999999996</v>
      </c>
      <c r="G152">
        <v>0.91800000000000004</v>
      </c>
      <c r="H152">
        <v>27.082000000000001</v>
      </c>
      <c r="I152">
        <v>27.957999999999998</v>
      </c>
      <c r="J152">
        <v>112.357</v>
      </c>
      <c r="K152">
        <v>80.331999999999994</v>
      </c>
    </row>
    <row r="153" spans="1:11" x14ac:dyDescent="0.25">
      <c r="A153">
        <v>21</v>
      </c>
      <c r="B153">
        <v>6</v>
      </c>
      <c r="D153">
        <v>6.5000000000000002E-2</v>
      </c>
      <c r="E153">
        <v>0.125</v>
      </c>
      <c r="F153">
        <v>0.34200000000000003</v>
      </c>
      <c r="G153">
        <v>0.40300000000000002</v>
      </c>
      <c r="H153">
        <v>20.465</v>
      </c>
      <c r="I153">
        <v>16.978000000000002</v>
      </c>
      <c r="J153">
        <v>83.802000000000007</v>
      </c>
      <c r="K153">
        <v>71.150999999999996</v>
      </c>
    </row>
    <row r="154" spans="1:11" x14ac:dyDescent="0.25">
      <c r="A154">
        <v>21</v>
      </c>
      <c r="B154">
        <v>8</v>
      </c>
      <c r="D154">
        <v>2.9000000000000001E-2</v>
      </c>
      <c r="E154">
        <v>6.9000000000000006E-2</v>
      </c>
      <c r="F154">
        <v>0.26</v>
      </c>
      <c r="G154">
        <v>0.27300000000000002</v>
      </c>
      <c r="H154">
        <v>0.36299999999999999</v>
      </c>
      <c r="I154">
        <v>12.265000000000001</v>
      </c>
      <c r="J154">
        <v>2.65</v>
      </c>
      <c r="K154">
        <v>58.878999999999998</v>
      </c>
    </row>
    <row r="155" spans="1:11" x14ac:dyDescent="0.25">
      <c r="A155">
        <v>21</v>
      </c>
      <c r="B155">
        <v>10</v>
      </c>
      <c r="D155">
        <v>4.4999999999999998E-2</v>
      </c>
      <c r="E155">
        <v>4.2999999999999997E-2</v>
      </c>
      <c r="F155">
        <v>0.24099999999999999</v>
      </c>
      <c r="G155">
        <v>0.221</v>
      </c>
      <c r="H155">
        <v>14.683</v>
      </c>
      <c r="I155">
        <v>11.493</v>
      </c>
      <c r="J155">
        <v>72.918999999999997</v>
      </c>
      <c r="K155">
        <v>50.149000000000001</v>
      </c>
    </row>
    <row r="156" spans="1:11" x14ac:dyDescent="0.25">
      <c r="A156">
        <v>21</v>
      </c>
      <c r="B156">
        <v>12</v>
      </c>
      <c r="D156">
        <v>2.9000000000000001E-2</v>
      </c>
      <c r="E156">
        <v>2.3E-2</v>
      </c>
      <c r="F156">
        <v>0.219</v>
      </c>
      <c r="G156">
        <v>0.21199999999999999</v>
      </c>
      <c r="H156">
        <v>14.52</v>
      </c>
      <c r="I156">
        <v>10.031000000000001</v>
      </c>
      <c r="J156">
        <v>65.007999999999996</v>
      </c>
      <c r="K156">
        <v>39.244999999999997</v>
      </c>
    </row>
    <row r="157" spans="1:11" x14ac:dyDescent="0.25">
      <c r="A157">
        <v>21</v>
      </c>
      <c r="B157">
        <v>24</v>
      </c>
      <c r="D157">
        <v>2.4E-2</v>
      </c>
      <c r="E157">
        <v>2.1999999999999999E-2</v>
      </c>
      <c r="F157">
        <v>0.1</v>
      </c>
      <c r="H157">
        <v>10.292999999999999</v>
      </c>
      <c r="I157">
        <v>9.4450000000000003</v>
      </c>
      <c r="J157">
        <v>55.125999999999998</v>
      </c>
      <c r="K157">
        <v>34.087000000000003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ffe7e-1cad-489e-8474-2baa83ea69b6">
      <Terms xmlns="http://schemas.microsoft.com/office/infopath/2007/PartnerControls"/>
    </lcf76f155ced4ddcb4097134ff3c332f>
    <TaxCatchAll xmlns="ab06a5aa-8e31-4bdb-9b13-38c58a92ec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10A4AE2388A741A85967904D4713B9" ma:contentTypeVersion="19" ma:contentTypeDescription="Create a new document." ma:contentTypeScope="" ma:versionID="b60a43e00881314b925443b76060c68e">
  <xsd:schema xmlns:xsd="http://www.w3.org/2001/XMLSchema" xmlns:xs="http://www.w3.org/2001/XMLSchema" xmlns:p="http://schemas.microsoft.com/office/2006/metadata/properties" xmlns:ns2="374b8640-c338-40f1-9839-0464738c94bb" xmlns:ns3="069ffe7e-1cad-489e-8474-2baa83ea69b6" xmlns:ns4="ab06a5aa-8e31-4bdb-9b13-38c58a92ec8a" targetNamespace="http://schemas.microsoft.com/office/2006/metadata/properties" ma:root="true" ma:fieldsID="4e7a4b328dd02c8b8f8abd7b7e973800" ns2:_="" ns3:_="" ns4:_="">
    <xsd:import namespace="374b8640-c338-40f1-9839-0464738c94bb"/>
    <xsd:import namespace="069ffe7e-1cad-489e-8474-2baa83ea69b6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b8640-c338-40f1-9839-0464738c94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ffe7e-1cad-489e-8474-2baa83ea6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1aa2b10-e5f0-477e-8bd4-5723ee2706d0}" ma:internalName="TaxCatchAll" ma:showField="CatchAllData" ma:web="374b8640-c338-40f1-9839-0464738c94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93A1F3-B1A4-4B5A-93EC-64B38A78B2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13607A-F60B-4AEF-8229-C41B59E94032}">
  <ds:schemaRefs>
    <ds:schemaRef ds:uri="http://schemas.microsoft.com/office/2006/metadata/properties"/>
    <ds:schemaRef ds:uri="http://schemas.microsoft.com/office/infopath/2007/PartnerControls"/>
    <ds:schemaRef ds:uri="069ffe7e-1cad-489e-8474-2baa83ea69b6"/>
    <ds:schemaRef ds:uri="ab06a5aa-8e31-4bdb-9b13-38c58a92ec8a"/>
  </ds:schemaRefs>
</ds:datastoreItem>
</file>

<file path=customXml/itemProps3.xml><?xml version="1.0" encoding="utf-8"?>
<ds:datastoreItem xmlns:ds="http://schemas.openxmlformats.org/officeDocument/2006/customXml" ds:itemID="{7A38FCB7-CC15-484F-A43F-97714D0EF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b8640-c338-40f1-9839-0464738c94bb"/>
    <ds:schemaRef ds:uri="069ffe7e-1cad-489e-8474-2baa83ea69b6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Aurora</dc:creator>
  <cp:keywords/>
  <dc:description/>
  <cp:lastModifiedBy>Aurora</cp:lastModifiedBy>
  <cp:revision/>
  <dcterms:created xsi:type="dcterms:W3CDTF">2025-10-30T02:38:24Z</dcterms:created>
  <dcterms:modified xsi:type="dcterms:W3CDTF">2026-04-15T22:34:48Z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0x0101008F10A4AE2388A741A85967904D4713B9</vt:lpwstr>
  </property>
  <property fmtid="{D5CDD505-2E9C-101B-9397-08002B2CF9AE}" pid="3" name="MediaServiceImageTags">
    <vt:lpwstr/>
  </property>
</Properties>
</file>